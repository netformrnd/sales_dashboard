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文档\1.신나영\html파일관리\3.매출현황\"/>
    </mc:Choice>
  </mc:AlternateContent>
  <xr:revisionPtr revIDLastSave="0" documentId="13_ncr:1_{3E06E035-4204-401D-910C-2AFF46219155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대시보드" sheetId="1" r:id="rId1"/>
    <sheet name="컨설팅" sheetId="2" r:id="rId2"/>
    <sheet name="S_N솔루션" sheetId="3" r:id="rId3"/>
    <sheet name="특허기술자문료" sheetId="4" r:id="rId4"/>
    <sheet name="자재판매" sheetId="5" r:id="rId5"/>
    <sheet name="2025현장 미수금관리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H6" i="2"/>
  <c r="H4" i="3"/>
  <c r="AH100" i="5"/>
  <c r="AL100" i="5" s="1"/>
  <c r="AL99" i="5"/>
  <c r="AH99" i="5"/>
  <c r="AH98" i="5"/>
  <c r="AL98" i="5" s="1"/>
  <c r="AL97" i="5"/>
  <c r="AH97" i="5"/>
  <c r="AH96" i="5"/>
  <c r="AL96" i="5" s="1"/>
  <c r="AH95" i="5"/>
  <c r="AL95" i="5" s="1"/>
  <c r="AH94" i="5"/>
  <c r="AL94" i="5" s="1"/>
  <c r="AH93" i="5"/>
  <c r="AL93" i="5" s="1"/>
  <c r="AH92" i="5"/>
  <c r="AL92" i="5" s="1"/>
  <c r="AH91" i="5"/>
  <c r="AL91" i="5" s="1"/>
  <c r="AH90" i="5"/>
  <c r="AL90" i="5" s="1"/>
  <c r="AL89" i="5"/>
  <c r="AH89" i="5"/>
  <c r="AH88" i="5"/>
  <c r="AL88" i="5" s="1"/>
  <c r="AL87" i="5"/>
  <c r="AH87" i="5"/>
  <c r="AH86" i="5"/>
  <c r="AL86" i="5" s="1"/>
  <c r="AH85" i="5"/>
  <c r="AL85" i="5" s="1"/>
  <c r="AH84" i="5"/>
  <c r="AL84" i="5" s="1"/>
  <c r="AH83" i="5"/>
  <c r="AL83" i="5" s="1"/>
  <c r="AL82" i="5"/>
  <c r="AH82" i="5"/>
  <c r="AH81" i="5"/>
  <c r="AL81" i="5" s="1"/>
  <c r="AH80" i="5"/>
  <c r="AL80" i="5" s="1"/>
  <c r="AL79" i="5"/>
  <c r="AH79" i="5"/>
  <c r="AH78" i="5"/>
  <c r="AL78" i="5" s="1"/>
  <c r="AL77" i="5"/>
  <c r="AH77" i="5"/>
  <c r="AH76" i="5"/>
  <c r="AL76" i="5" s="1"/>
  <c r="AH75" i="5"/>
  <c r="AL75" i="5" s="1"/>
  <c r="AH74" i="5"/>
  <c r="AL74" i="5" s="1"/>
  <c r="AH73" i="5"/>
  <c r="AL73" i="5" s="1"/>
  <c r="AL72" i="5"/>
  <c r="AH72" i="5"/>
  <c r="AL71" i="5"/>
  <c r="AH71" i="5"/>
  <c r="AH70" i="5"/>
  <c r="AL70" i="5" s="1"/>
  <c r="AL69" i="5"/>
  <c r="AH69" i="5"/>
  <c r="AH68" i="5"/>
  <c r="AL68" i="5" s="1"/>
  <c r="AL67" i="5"/>
  <c r="AH67" i="5"/>
  <c r="AH66" i="5"/>
  <c r="AL66" i="5" s="1"/>
  <c r="AH65" i="5"/>
  <c r="AL65" i="5" s="1"/>
  <c r="AH64" i="5"/>
  <c r="AL64" i="5" s="1"/>
  <c r="AH63" i="5"/>
  <c r="AL63" i="5" s="1"/>
  <c r="AH62" i="5"/>
  <c r="AL62" i="5" s="1"/>
  <c r="AH61" i="5"/>
  <c r="AL61" i="5" s="1"/>
  <c r="AH60" i="5"/>
  <c r="AL60" i="5" s="1"/>
  <c r="AL59" i="5"/>
  <c r="AH59" i="5"/>
  <c r="AH58" i="5"/>
  <c r="AL58" i="5" s="1"/>
  <c r="AL57" i="5"/>
  <c r="AH57" i="5"/>
  <c r="AH56" i="5"/>
  <c r="AL56" i="5" s="1"/>
  <c r="AH55" i="5"/>
  <c r="AL55" i="5" s="1"/>
  <c r="AH54" i="5"/>
  <c r="AL54" i="5" s="1"/>
  <c r="AH53" i="5"/>
  <c r="AL53" i="5" s="1"/>
  <c r="AH52" i="5"/>
  <c r="AL52" i="5" s="1"/>
  <c r="AH51" i="5"/>
  <c r="AL51" i="5" s="1"/>
  <c r="AH50" i="5"/>
  <c r="AL50" i="5" s="1"/>
  <c r="AL49" i="5"/>
  <c r="AH49" i="5"/>
  <c r="AH48" i="5"/>
  <c r="AL48" i="5" s="1"/>
  <c r="AL47" i="5"/>
  <c r="AH47" i="5"/>
  <c r="AH46" i="5"/>
  <c r="AL46" i="5" s="1"/>
  <c r="AH45" i="5"/>
  <c r="AL45" i="5" s="1"/>
  <c r="AH44" i="5"/>
  <c r="AL44" i="5" s="1"/>
  <c r="AH43" i="5"/>
  <c r="AL43" i="5" s="1"/>
  <c r="AL42" i="5"/>
  <c r="AH42" i="5"/>
  <c r="AL41" i="5"/>
  <c r="AH41" i="5"/>
  <c r="AH40" i="5"/>
  <c r="AL40" i="5" s="1"/>
  <c r="AL39" i="5"/>
  <c r="AH39" i="5"/>
  <c r="AH38" i="5"/>
  <c r="AL38" i="5" s="1"/>
  <c r="AL37" i="5"/>
  <c r="AH37" i="5"/>
  <c r="AH36" i="5"/>
  <c r="AL36" i="5" s="1"/>
  <c r="AH35" i="5"/>
  <c r="AL35" i="5" s="1"/>
  <c r="AH34" i="5"/>
  <c r="AL34" i="5" s="1"/>
  <c r="AH33" i="5"/>
  <c r="AL33" i="5" s="1"/>
  <c r="AH32" i="5"/>
  <c r="AL32" i="5" s="1"/>
  <c r="AH31" i="5"/>
  <c r="AL31" i="5" s="1"/>
  <c r="AH30" i="5"/>
  <c r="AL30" i="5" s="1"/>
  <c r="AL29" i="5"/>
  <c r="AH29" i="5"/>
  <c r="AH28" i="5"/>
  <c r="AL28" i="5" s="1"/>
  <c r="AL27" i="5"/>
  <c r="AH27" i="5"/>
  <c r="AH26" i="5"/>
  <c r="AL26" i="5" s="1"/>
  <c r="AH25" i="5"/>
  <c r="AL25" i="5" s="1"/>
  <c r="AH24" i="5"/>
  <c r="AL24" i="5" s="1"/>
  <c r="AH23" i="5"/>
  <c r="AL23" i="5" s="1"/>
  <c r="AH22" i="5"/>
  <c r="AL22" i="5" s="1"/>
  <c r="AH21" i="5"/>
  <c r="AL21" i="5" s="1"/>
  <c r="AH20" i="5"/>
  <c r="AL20" i="5" s="1"/>
  <c r="AL19" i="5"/>
  <c r="AH19" i="5"/>
  <c r="AH18" i="5"/>
  <c r="AL18" i="5" s="1"/>
  <c r="AL17" i="5"/>
  <c r="AH17" i="5"/>
  <c r="AH16" i="5"/>
  <c r="AL16" i="5" s="1"/>
  <c r="AH15" i="5"/>
  <c r="AL15" i="5" s="1"/>
  <c r="AH14" i="5"/>
  <c r="AL14" i="5" s="1"/>
  <c r="AH13" i="5"/>
  <c r="AL13" i="5" s="1"/>
  <c r="AL12" i="5"/>
  <c r="AH12" i="5"/>
  <c r="AL11" i="5"/>
  <c r="AH11" i="5"/>
  <c r="AH10" i="5"/>
  <c r="AL10" i="5" s="1"/>
  <c r="AL9" i="5"/>
  <c r="AH9" i="5"/>
  <c r="AH8" i="5"/>
  <c r="AL8" i="5" s="1"/>
  <c r="AL7" i="5"/>
  <c r="AH6" i="5"/>
  <c r="AL6" i="5" s="1"/>
  <c r="AL5" i="5"/>
  <c r="AH5" i="5"/>
  <c r="AL4" i="5"/>
  <c r="AH4" i="5"/>
  <c r="AH3" i="5"/>
  <c r="AL3" i="5" s="1"/>
  <c r="AH2" i="5"/>
  <c r="AL2" i="5" s="1"/>
  <c r="P91" i="4"/>
  <c r="L91" i="4"/>
  <c r="P90" i="4"/>
  <c r="L90" i="4"/>
  <c r="P89" i="4"/>
  <c r="L89" i="4"/>
  <c r="P88" i="4"/>
  <c r="L88" i="4"/>
  <c r="L87" i="4"/>
  <c r="P87" i="4" s="1"/>
  <c r="L86" i="4"/>
  <c r="P86" i="4" s="1"/>
  <c r="P85" i="4"/>
  <c r="L85" i="4"/>
  <c r="P84" i="4"/>
  <c r="L84" i="4"/>
  <c r="L83" i="4"/>
  <c r="P83" i="4" s="1"/>
  <c r="L82" i="4"/>
  <c r="P82" i="4" s="1"/>
  <c r="L81" i="4"/>
  <c r="P81" i="4" s="1"/>
  <c r="P80" i="4"/>
  <c r="L80" i="4"/>
  <c r="P79" i="4"/>
  <c r="L79" i="4"/>
  <c r="P78" i="4"/>
  <c r="L78" i="4"/>
  <c r="L77" i="4"/>
  <c r="P77" i="4" s="1"/>
  <c r="L76" i="4"/>
  <c r="P76" i="4" s="1"/>
  <c r="P75" i="4"/>
  <c r="L75" i="4"/>
  <c r="P74" i="4"/>
  <c r="L74" i="4"/>
  <c r="L73" i="4"/>
  <c r="P73" i="4" s="1"/>
  <c r="L72" i="4"/>
  <c r="P72" i="4" s="1"/>
  <c r="L71" i="4"/>
  <c r="P71" i="4" s="1"/>
  <c r="P70" i="4"/>
  <c r="L70" i="4"/>
  <c r="P69" i="4"/>
  <c r="L69" i="4"/>
  <c r="P68" i="4"/>
  <c r="L68" i="4"/>
  <c r="L67" i="4"/>
  <c r="P67" i="4" s="1"/>
  <c r="L66" i="4"/>
  <c r="P66" i="4" s="1"/>
  <c r="P65" i="4"/>
  <c r="L65" i="4"/>
  <c r="P64" i="4"/>
  <c r="L64" i="4"/>
  <c r="L63" i="4"/>
  <c r="P63" i="4" s="1"/>
  <c r="L62" i="4"/>
  <c r="P62" i="4" s="1"/>
  <c r="L61" i="4"/>
  <c r="P61" i="4" s="1"/>
  <c r="P60" i="4"/>
  <c r="L60" i="4"/>
  <c r="P59" i="4"/>
  <c r="L59" i="4"/>
  <c r="P58" i="4"/>
  <c r="L58" i="4"/>
  <c r="L57" i="4"/>
  <c r="P57" i="4" s="1"/>
  <c r="L56" i="4"/>
  <c r="P56" i="4" s="1"/>
  <c r="P55" i="4"/>
  <c r="L55" i="4"/>
  <c r="P54" i="4"/>
  <c r="L54" i="4"/>
  <c r="L53" i="4"/>
  <c r="P53" i="4" s="1"/>
  <c r="L52" i="4"/>
  <c r="P52" i="4" s="1"/>
  <c r="P51" i="4"/>
  <c r="L51" i="4"/>
  <c r="P50" i="4"/>
  <c r="L50" i="4"/>
  <c r="P49" i="4"/>
  <c r="L49" i="4"/>
  <c r="P48" i="4"/>
  <c r="L48" i="4"/>
  <c r="L47" i="4"/>
  <c r="P47" i="4" s="1"/>
  <c r="L46" i="4"/>
  <c r="P46" i="4" s="1"/>
  <c r="P45" i="4"/>
  <c r="L45" i="4"/>
  <c r="P44" i="4"/>
  <c r="L44" i="4"/>
  <c r="L43" i="4"/>
  <c r="P43" i="4" s="1"/>
  <c r="L42" i="4"/>
  <c r="P42" i="4" s="1"/>
  <c r="P41" i="4"/>
  <c r="L41" i="4"/>
  <c r="P40" i="4"/>
  <c r="L40" i="4"/>
  <c r="P39" i="4"/>
  <c r="L39" i="4"/>
  <c r="P38" i="4"/>
  <c r="L38" i="4"/>
  <c r="L37" i="4"/>
  <c r="P37" i="4" s="1"/>
  <c r="L36" i="4"/>
  <c r="P36" i="4" s="1"/>
  <c r="P35" i="4"/>
  <c r="L35" i="4"/>
  <c r="P34" i="4"/>
  <c r="L34" i="4"/>
  <c r="L33" i="4"/>
  <c r="P33" i="4" s="1"/>
  <c r="L32" i="4"/>
  <c r="P32" i="4" s="1"/>
  <c r="L31" i="4"/>
  <c r="P31" i="4" s="1"/>
  <c r="P30" i="4"/>
  <c r="L30" i="4"/>
  <c r="P29" i="4"/>
  <c r="L29" i="4"/>
  <c r="P28" i="4"/>
  <c r="L28" i="4"/>
  <c r="L27" i="4"/>
  <c r="P27" i="4" s="1"/>
  <c r="L26" i="4"/>
  <c r="P26" i="4" s="1"/>
  <c r="P25" i="4"/>
  <c r="L25" i="4"/>
  <c r="P24" i="4"/>
  <c r="L24" i="4"/>
  <c r="L23" i="4"/>
  <c r="P23" i="4" s="1"/>
  <c r="L22" i="4"/>
  <c r="P22" i="4" s="1"/>
  <c r="L21" i="4"/>
  <c r="P21" i="4" s="1"/>
  <c r="P20" i="4"/>
  <c r="L20" i="4"/>
  <c r="P19" i="4"/>
  <c r="L19" i="4"/>
  <c r="P18" i="4"/>
  <c r="L18" i="4"/>
  <c r="L17" i="4"/>
  <c r="P17" i="4" s="1"/>
  <c r="L16" i="4"/>
  <c r="P16" i="4" s="1"/>
  <c r="P15" i="4"/>
  <c r="L15" i="4"/>
  <c r="P14" i="4"/>
  <c r="L14" i="4"/>
  <c r="L13" i="4"/>
  <c r="P13" i="4" s="1"/>
  <c r="L12" i="4"/>
  <c r="P12" i="4" s="1"/>
  <c r="L11" i="4"/>
  <c r="P11" i="4" s="1"/>
  <c r="P10" i="4"/>
  <c r="L10" i="4"/>
  <c r="P9" i="4"/>
  <c r="L9" i="4"/>
  <c r="P8" i="4"/>
  <c r="L8" i="4"/>
  <c r="L7" i="4"/>
  <c r="P7" i="4" s="1"/>
  <c r="L6" i="4"/>
  <c r="P6" i="4" s="1"/>
  <c r="I6" i="4"/>
  <c r="O5" i="4"/>
  <c r="P5" i="4" s="1"/>
  <c r="L5" i="4"/>
  <c r="I5" i="4"/>
  <c r="L4" i="4"/>
  <c r="I4" i="4"/>
  <c r="O4" i="4" s="1"/>
  <c r="L3" i="4"/>
  <c r="I3" i="4"/>
  <c r="P2" i="4"/>
  <c r="O2" i="4"/>
  <c r="L2" i="4"/>
  <c r="I2" i="4"/>
  <c r="P100" i="3"/>
  <c r="L100" i="3"/>
  <c r="L99" i="3"/>
  <c r="P99" i="3" s="1"/>
  <c r="L98" i="3"/>
  <c r="P98" i="3" s="1"/>
  <c r="L97" i="3"/>
  <c r="P97" i="3" s="1"/>
  <c r="L96" i="3"/>
  <c r="P96" i="3" s="1"/>
  <c r="L95" i="3"/>
  <c r="P95" i="3" s="1"/>
  <c r="P94" i="3"/>
  <c r="L94" i="3"/>
  <c r="L93" i="3"/>
  <c r="P93" i="3" s="1"/>
  <c r="P92" i="3"/>
  <c r="L92" i="3"/>
  <c r="L91" i="3"/>
  <c r="P91" i="3" s="1"/>
  <c r="P90" i="3"/>
  <c r="L90" i="3"/>
  <c r="L89" i="3"/>
  <c r="P89" i="3" s="1"/>
  <c r="L88" i="3"/>
  <c r="P88" i="3" s="1"/>
  <c r="L87" i="3"/>
  <c r="P87" i="3" s="1"/>
  <c r="L86" i="3"/>
  <c r="P86" i="3" s="1"/>
  <c r="L85" i="3"/>
  <c r="P85" i="3" s="1"/>
  <c r="L84" i="3"/>
  <c r="P84" i="3" s="1"/>
  <c r="L83" i="3"/>
  <c r="P83" i="3" s="1"/>
  <c r="P82" i="3"/>
  <c r="L82" i="3"/>
  <c r="L81" i="3"/>
  <c r="P81" i="3" s="1"/>
  <c r="P80" i="3"/>
  <c r="L80" i="3"/>
  <c r="L79" i="3"/>
  <c r="P79" i="3" s="1"/>
  <c r="L78" i="3"/>
  <c r="P78" i="3" s="1"/>
  <c r="L77" i="3"/>
  <c r="P77" i="3" s="1"/>
  <c r="L76" i="3"/>
  <c r="P76" i="3" s="1"/>
  <c r="P75" i="3"/>
  <c r="L75" i="3"/>
  <c r="P74" i="3"/>
  <c r="L74" i="3"/>
  <c r="L73" i="3"/>
  <c r="P73" i="3" s="1"/>
  <c r="P72" i="3"/>
  <c r="L72" i="3"/>
  <c r="L71" i="3"/>
  <c r="P71" i="3" s="1"/>
  <c r="P70" i="3"/>
  <c r="L70" i="3"/>
  <c r="L69" i="3"/>
  <c r="P69" i="3" s="1"/>
  <c r="L68" i="3"/>
  <c r="P68" i="3" s="1"/>
  <c r="L67" i="3"/>
  <c r="P67" i="3" s="1"/>
  <c r="L66" i="3"/>
  <c r="P66" i="3" s="1"/>
  <c r="P65" i="3"/>
  <c r="L65" i="3"/>
  <c r="P64" i="3"/>
  <c r="L64" i="3"/>
  <c r="L63" i="3"/>
  <c r="P63" i="3" s="1"/>
  <c r="P62" i="3"/>
  <c r="L62" i="3"/>
  <c r="L61" i="3"/>
  <c r="P61" i="3" s="1"/>
  <c r="P60" i="3"/>
  <c r="L60" i="3"/>
  <c r="L59" i="3"/>
  <c r="P59" i="3" s="1"/>
  <c r="L58" i="3"/>
  <c r="P58" i="3" s="1"/>
  <c r="L57" i="3"/>
  <c r="P57" i="3" s="1"/>
  <c r="L56" i="3"/>
  <c r="P56" i="3" s="1"/>
  <c r="L55" i="3"/>
  <c r="P55" i="3" s="1"/>
  <c r="L54" i="3"/>
  <c r="P54" i="3" s="1"/>
  <c r="L53" i="3"/>
  <c r="P53" i="3" s="1"/>
  <c r="P52" i="3"/>
  <c r="L52" i="3"/>
  <c r="L51" i="3"/>
  <c r="P51" i="3" s="1"/>
  <c r="P50" i="3"/>
  <c r="L50" i="3"/>
  <c r="L49" i="3"/>
  <c r="P49" i="3" s="1"/>
  <c r="L48" i="3"/>
  <c r="P48" i="3" s="1"/>
  <c r="L47" i="3"/>
  <c r="P47" i="3" s="1"/>
  <c r="L46" i="3"/>
  <c r="P46" i="3" s="1"/>
  <c r="P45" i="3"/>
  <c r="L45" i="3"/>
  <c r="L44" i="3"/>
  <c r="P44" i="3" s="1"/>
  <c r="L43" i="3"/>
  <c r="P43" i="3" s="1"/>
  <c r="P42" i="3"/>
  <c r="L42" i="3"/>
  <c r="L41" i="3"/>
  <c r="P41" i="3" s="1"/>
  <c r="P40" i="3"/>
  <c r="L40" i="3"/>
  <c r="L39" i="3"/>
  <c r="P39" i="3" s="1"/>
  <c r="L38" i="3"/>
  <c r="P38" i="3" s="1"/>
  <c r="L37" i="3"/>
  <c r="P37" i="3" s="1"/>
  <c r="L36" i="3"/>
  <c r="P36" i="3" s="1"/>
  <c r="P35" i="3"/>
  <c r="L35" i="3"/>
  <c r="P34" i="3"/>
  <c r="L34" i="3"/>
  <c r="L33" i="3"/>
  <c r="P33" i="3" s="1"/>
  <c r="P32" i="3"/>
  <c r="L32" i="3"/>
  <c r="L31" i="3"/>
  <c r="P31" i="3" s="1"/>
  <c r="P30" i="3"/>
  <c r="L30" i="3"/>
  <c r="L29" i="3"/>
  <c r="P29" i="3" s="1"/>
  <c r="L28" i="3"/>
  <c r="P28" i="3" s="1"/>
  <c r="L27" i="3"/>
  <c r="P27" i="3" s="1"/>
  <c r="L26" i="3"/>
  <c r="P26" i="3" s="1"/>
  <c r="L25" i="3"/>
  <c r="P25" i="3" s="1"/>
  <c r="L24" i="3"/>
  <c r="P24" i="3" s="1"/>
  <c r="L23" i="3"/>
  <c r="P23" i="3" s="1"/>
  <c r="P22" i="3"/>
  <c r="L22" i="3"/>
  <c r="L21" i="3"/>
  <c r="P21" i="3" s="1"/>
  <c r="P20" i="3"/>
  <c r="L20" i="3"/>
  <c r="L19" i="3"/>
  <c r="P19" i="3" s="1"/>
  <c r="L18" i="3"/>
  <c r="P18" i="3" s="1"/>
  <c r="L17" i="3"/>
  <c r="P17" i="3" s="1"/>
  <c r="L16" i="3"/>
  <c r="P16" i="3" s="1"/>
  <c r="L15" i="3"/>
  <c r="P15" i="3" s="1"/>
  <c r="L14" i="3"/>
  <c r="P14" i="3" s="1"/>
  <c r="L13" i="3"/>
  <c r="P13" i="3" s="1"/>
  <c r="P12" i="3"/>
  <c r="L12" i="3"/>
  <c r="L11" i="3"/>
  <c r="P11" i="3" s="1"/>
  <c r="P10" i="3"/>
  <c r="L10" i="3"/>
  <c r="L9" i="3"/>
  <c r="P9" i="3" s="1"/>
  <c r="L8" i="3"/>
  <c r="P8" i="3" s="1"/>
  <c r="L7" i="3"/>
  <c r="P7" i="3" s="1"/>
  <c r="P6" i="3"/>
  <c r="L6" i="3"/>
  <c r="L4" i="3"/>
  <c r="P4" i="3" s="1"/>
  <c r="E4" i="3"/>
  <c r="D4" i="3"/>
  <c r="C4" i="3"/>
  <c r="B4" i="3"/>
  <c r="P3" i="3"/>
  <c r="L3" i="3"/>
  <c r="H3" i="3"/>
  <c r="B3" i="3"/>
  <c r="L2" i="3"/>
  <c r="H2" i="3"/>
  <c r="O2" i="3" s="1"/>
  <c r="P2" i="3" s="1"/>
  <c r="M100" i="2"/>
  <c r="S100" i="2" s="1"/>
  <c r="M99" i="2"/>
  <c r="S99" i="2" s="1"/>
  <c r="M98" i="2"/>
  <c r="S98" i="2" s="1"/>
  <c r="M97" i="2"/>
  <c r="S97" i="2" s="1"/>
  <c r="M96" i="2"/>
  <c r="S96" i="2" s="1"/>
  <c r="M95" i="2"/>
  <c r="S95" i="2" s="1"/>
  <c r="M94" i="2"/>
  <c r="S94" i="2" s="1"/>
  <c r="M93" i="2"/>
  <c r="S93" i="2" s="1"/>
  <c r="M92" i="2"/>
  <c r="S92" i="2" s="1"/>
  <c r="M91" i="2"/>
  <c r="S91" i="2" s="1"/>
  <c r="S90" i="2"/>
  <c r="M90" i="2"/>
  <c r="M89" i="2"/>
  <c r="S89" i="2" s="1"/>
  <c r="M88" i="2"/>
  <c r="S88" i="2" s="1"/>
  <c r="M87" i="2"/>
  <c r="S87" i="2" s="1"/>
  <c r="M86" i="2"/>
  <c r="S86" i="2" s="1"/>
  <c r="M85" i="2"/>
  <c r="S85" i="2" s="1"/>
  <c r="M84" i="2"/>
  <c r="S84" i="2" s="1"/>
  <c r="M83" i="2"/>
  <c r="S83" i="2" s="1"/>
  <c r="M82" i="2"/>
  <c r="S82" i="2" s="1"/>
  <c r="M81" i="2"/>
  <c r="S81" i="2" s="1"/>
  <c r="M80" i="2"/>
  <c r="S80" i="2" s="1"/>
  <c r="M79" i="2"/>
  <c r="S79" i="2" s="1"/>
  <c r="M78" i="2"/>
  <c r="S78" i="2" s="1"/>
  <c r="M77" i="2"/>
  <c r="S77" i="2" s="1"/>
  <c r="S76" i="2"/>
  <c r="M76" i="2"/>
  <c r="M75" i="2"/>
  <c r="S75" i="2" s="1"/>
  <c r="S74" i="2"/>
  <c r="M74" i="2"/>
  <c r="M73" i="2"/>
  <c r="S73" i="2" s="1"/>
  <c r="M72" i="2"/>
  <c r="S72" i="2" s="1"/>
  <c r="M71" i="2"/>
  <c r="S71" i="2" s="1"/>
  <c r="M70" i="2"/>
  <c r="S70" i="2" s="1"/>
  <c r="M69" i="2"/>
  <c r="S69" i="2" s="1"/>
  <c r="M68" i="2"/>
  <c r="S68" i="2" s="1"/>
  <c r="M67" i="2"/>
  <c r="S67" i="2" s="1"/>
  <c r="M66" i="2"/>
  <c r="S66" i="2" s="1"/>
  <c r="M65" i="2"/>
  <c r="S65" i="2" s="1"/>
  <c r="M64" i="2"/>
  <c r="S64" i="2" s="1"/>
  <c r="M63" i="2"/>
  <c r="S63" i="2" s="1"/>
  <c r="M62" i="2"/>
  <c r="S62" i="2" s="1"/>
  <c r="M61" i="2"/>
  <c r="S61" i="2" s="1"/>
  <c r="M60" i="2"/>
  <c r="S60" i="2" s="1"/>
  <c r="M59" i="2"/>
  <c r="S59" i="2" s="1"/>
  <c r="M58" i="2"/>
  <c r="S58" i="2" s="1"/>
  <c r="M57" i="2"/>
  <c r="S57" i="2" s="1"/>
  <c r="M56" i="2"/>
  <c r="S56" i="2" s="1"/>
  <c r="M55" i="2"/>
  <c r="S55" i="2" s="1"/>
  <c r="M54" i="2"/>
  <c r="S54" i="2" s="1"/>
  <c r="M53" i="2"/>
  <c r="S53" i="2" s="1"/>
  <c r="M52" i="2"/>
  <c r="S52" i="2" s="1"/>
  <c r="M51" i="2"/>
  <c r="S51" i="2" s="1"/>
  <c r="M50" i="2"/>
  <c r="S50" i="2" s="1"/>
  <c r="M49" i="2"/>
  <c r="S49" i="2" s="1"/>
  <c r="M48" i="2"/>
  <c r="S48" i="2" s="1"/>
  <c r="M47" i="2"/>
  <c r="S47" i="2" s="1"/>
  <c r="M46" i="2"/>
  <c r="S46" i="2" s="1"/>
  <c r="M45" i="2"/>
  <c r="S45" i="2" s="1"/>
  <c r="M44" i="2"/>
  <c r="S44" i="2" s="1"/>
  <c r="M43" i="2"/>
  <c r="S43" i="2" s="1"/>
  <c r="M42" i="2"/>
  <c r="S42" i="2" s="1"/>
  <c r="M41" i="2"/>
  <c r="S41" i="2" s="1"/>
  <c r="M40" i="2"/>
  <c r="S40" i="2" s="1"/>
  <c r="M39" i="2"/>
  <c r="S39" i="2" s="1"/>
  <c r="M38" i="2"/>
  <c r="S38" i="2" s="1"/>
  <c r="M37" i="2"/>
  <c r="S37" i="2" s="1"/>
  <c r="M36" i="2"/>
  <c r="S36" i="2" s="1"/>
  <c r="M35" i="2"/>
  <c r="S35" i="2" s="1"/>
  <c r="R34" i="2"/>
  <c r="M34" i="2"/>
  <c r="S34" i="2" s="1"/>
  <c r="R33" i="2"/>
  <c r="M33" i="2"/>
  <c r="S33" i="2" s="1"/>
  <c r="R32" i="2"/>
  <c r="M32" i="2"/>
  <c r="S32" i="2" s="1"/>
  <c r="R31" i="2"/>
  <c r="M31" i="2"/>
  <c r="S31" i="2" s="1"/>
  <c r="R30" i="2"/>
  <c r="M30" i="2"/>
  <c r="S30" i="2" s="1"/>
  <c r="R29" i="2"/>
  <c r="M29" i="2"/>
  <c r="S29" i="2" s="1"/>
  <c r="R28" i="2"/>
  <c r="P28" i="2"/>
  <c r="M28" i="2"/>
  <c r="H28" i="2"/>
  <c r="R27" i="2"/>
  <c r="M27" i="2"/>
  <c r="H27" i="2"/>
  <c r="P27" i="2" s="1"/>
  <c r="E27" i="2"/>
  <c r="E28" i="2" s="1"/>
  <c r="D27" i="2"/>
  <c r="D28" i="2" s="1"/>
  <c r="R26" i="2"/>
  <c r="M26" i="2"/>
  <c r="H26" i="2"/>
  <c r="P26" i="2" s="1"/>
  <c r="S26" i="2" s="1"/>
  <c r="R25" i="2"/>
  <c r="M25" i="2"/>
  <c r="H25" i="2"/>
  <c r="P25" i="2" s="1"/>
  <c r="S25" i="2" s="1"/>
  <c r="R24" i="2"/>
  <c r="M24" i="2"/>
  <c r="H24" i="2"/>
  <c r="P24" i="2" s="1"/>
  <c r="E24" i="2"/>
  <c r="E25" i="2" s="1"/>
  <c r="D24" i="2"/>
  <c r="D25" i="2" s="1"/>
  <c r="R23" i="2"/>
  <c r="M23" i="2"/>
  <c r="H23" i="2"/>
  <c r="P23" i="2" s="1"/>
  <c r="R22" i="2"/>
  <c r="M22" i="2"/>
  <c r="H22" i="2"/>
  <c r="P22" i="2" s="1"/>
  <c r="S22" i="2" s="1"/>
  <c r="R21" i="2"/>
  <c r="M21" i="2"/>
  <c r="H21" i="2"/>
  <c r="P21" i="2" s="1"/>
  <c r="S21" i="2" s="1"/>
  <c r="E21" i="2"/>
  <c r="E22" i="2" s="1"/>
  <c r="D21" i="2"/>
  <c r="D22" i="2" s="1"/>
  <c r="R20" i="2"/>
  <c r="M20" i="2"/>
  <c r="H20" i="2"/>
  <c r="P20" i="2" s="1"/>
  <c r="R19" i="2"/>
  <c r="M19" i="2"/>
  <c r="H19" i="2"/>
  <c r="P19" i="2" s="1"/>
  <c r="R18" i="2"/>
  <c r="M18" i="2"/>
  <c r="H18" i="2"/>
  <c r="P18" i="2" s="1"/>
  <c r="E18" i="2"/>
  <c r="E19" i="2" s="1"/>
  <c r="D18" i="2"/>
  <c r="D19" i="2" s="1"/>
  <c r="R17" i="2"/>
  <c r="M17" i="2"/>
  <c r="H17" i="2"/>
  <c r="P17" i="2" s="1"/>
  <c r="R16" i="2"/>
  <c r="M16" i="2"/>
  <c r="H16" i="2"/>
  <c r="P16" i="2" s="1"/>
  <c r="D16" i="2"/>
  <c r="R15" i="2"/>
  <c r="M15" i="2"/>
  <c r="H15" i="2"/>
  <c r="P15" i="2" s="1"/>
  <c r="E15" i="2"/>
  <c r="E16" i="2" s="1"/>
  <c r="D15" i="2"/>
  <c r="R14" i="2"/>
  <c r="M14" i="2"/>
  <c r="H14" i="2"/>
  <c r="P14" i="2" s="1"/>
  <c r="R13" i="2"/>
  <c r="M13" i="2"/>
  <c r="R12" i="2"/>
  <c r="M12" i="2"/>
  <c r="E12" i="2"/>
  <c r="E13" i="2" s="1"/>
  <c r="D12" i="2"/>
  <c r="D13" i="2" s="1"/>
  <c r="R11" i="2"/>
  <c r="M11" i="2"/>
  <c r="G11" i="2"/>
  <c r="H11" i="2" s="1"/>
  <c r="P11" i="2" s="1"/>
  <c r="S11" i="2" s="1"/>
  <c r="R10" i="2"/>
  <c r="M10" i="2"/>
  <c r="H10" i="2"/>
  <c r="P10" i="2" s="1"/>
  <c r="R9" i="2"/>
  <c r="M9" i="2"/>
  <c r="H9" i="2"/>
  <c r="P9" i="2" s="1"/>
  <c r="E9" i="2"/>
  <c r="E10" i="2" s="1"/>
  <c r="D9" i="2"/>
  <c r="D10" i="2" s="1"/>
  <c r="R8" i="2"/>
  <c r="M8" i="2"/>
  <c r="H8" i="2"/>
  <c r="P8" i="2" s="1"/>
  <c r="R7" i="2"/>
  <c r="M7" i="2"/>
  <c r="H7" i="2"/>
  <c r="P7" i="2" s="1"/>
  <c r="E7" i="2"/>
  <c r="D7" i="2"/>
  <c r="R6" i="2"/>
  <c r="M6" i="2"/>
  <c r="P6" i="2"/>
  <c r="E6" i="2"/>
  <c r="D6" i="2"/>
  <c r="R5" i="2"/>
  <c r="H5" i="2"/>
  <c r="P5" i="2" s="1"/>
  <c r="R4" i="2"/>
  <c r="M4" i="2"/>
  <c r="R3" i="2"/>
  <c r="M3" i="2"/>
  <c r="H3" i="2"/>
  <c r="P3" i="2" s="1"/>
  <c r="E3" i="2"/>
  <c r="E4" i="2" s="1"/>
  <c r="D3" i="2"/>
  <c r="D4" i="2" s="1"/>
  <c r="B3" i="2"/>
  <c r="AJ2" i="2"/>
  <c r="AK2" i="2" s="1"/>
  <c r="AG2" i="2"/>
  <c r="AH2" i="2" s="1"/>
  <c r="AD2" i="2"/>
  <c r="H4" i="2" s="1"/>
  <c r="R2" i="2"/>
  <c r="M2" i="2"/>
  <c r="H2" i="2"/>
  <c r="P2" i="2" s="1"/>
  <c r="P42" i="1"/>
  <c r="P41" i="1"/>
  <c r="P40" i="1"/>
  <c r="O39" i="1"/>
  <c r="N39" i="1"/>
  <c r="M39" i="1"/>
  <c r="L39" i="1"/>
  <c r="K39" i="1"/>
  <c r="J39" i="1"/>
  <c r="I39" i="1"/>
  <c r="H39" i="1"/>
  <c r="G39" i="1"/>
  <c r="F39" i="1"/>
  <c r="E39" i="1"/>
  <c r="D39" i="1"/>
  <c r="O38" i="1"/>
  <c r="N38" i="1"/>
  <c r="M38" i="1"/>
  <c r="L38" i="1"/>
  <c r="K38" i="1"/>
  <c r="J38" i="1"/>
  <c r="I38" i="1"/>
  <c r="H38" i="1"/>
  <c r="G38" i="1"/>
  <c r="F38" i="1"/>
  <c r="D38" i="1"/>
  <c r="O37" i="1"/>
  <c r="N37" i="1"/>
  <c r="M37" i="1"/>
  <c r="L37" i="1"/>
  <c r="K37" i="1"/>
  <c r="J37" i="1"/>
  <c r="I37" i="1"/>
  <c r="H37" i="1"/>
  <c r="G37" i="1"/>
  <c r="F37" i="1"/>
  <c r="E37" i="1"/>
  <c r="D37" i="1"/>
  <c r="O36" i="1"/>
  <c r="N36" i="1"/>
  <c r="M36" i="1"/>
  <c r="L36" i="1"/>
  <c r="K36" i="1"/>
  <c r="J36" i="1"/>
  <c r="I36" i="1"/>
  <c r="H36" i="1"/>
  <c r="G36" i="1"/>
  <c r="F36" i="1"/>
  <c r="D36" i="1"/>
  <c r="F31" i="1"/>
  <c r="F30" i="1"/>
  <c r="F29" i="1"/>
  <c r="I28" i="1"/>
  <c r="G28" i="1"/>
  <c r="F28" i="1"/>
  <c r="E28" i="1"/>
  <c r="D28" i="1"/>
  <c r="D27" i="1"/>
  <c r="F26" i="1"/>
  <c r="I26" i="1" s="1"/>
  <c r="E26" i="1"/>
  <c r="D26" i="1"/>
  <c r="O17" i="1"/>
  <c r="N17" i="1"/>
  <c r="M17" i="1"/>
  <c r="L17" i="1"/>
  <c r="K17" i="1"/>
  <c r="J17" i="1"/>
  <c r="I17" i="1"/>
  <c r="H17" i="1"/>
  <c r="G17" i="1"/>
  <c r="F17" i="1"/>
  <c r="D17" i="1"/>
  <c r="O13" i="1"/>
  <c r="N13" i="1"/>
  <c r="M13" i="1"/>
  <c r="L13" i="1"/>
  <c r="K13" i="1"/>
  <c r="J13" i="1"/>
  <c r="I13" i="1"/>
  <c r="H13" i="1"/>
  <c r="G13" i="1"/>
  <c r="F13" i="1"/>
  <c r="E13" i="1"/>
  <c r="D13" i="1" l="1"/>
  <c r="P13" i="1" s="1"/>
  <c r="P39" i="1"/>
  <c r="G43" i="1"/>
  <c r="S8" i="2"/>
  <c r="K43" i="1"/>
  <c r="S3" i="2"/>
  <c r="S15" i="2"/>
  <c r="H12" i="2"/>
  <c r="P12" i="2" s="1"/>
  <c r="S12" i="2"/>
  <c r="H13" i="2"/>
  <c r="P13" i="2" s="1"/>
  <c r="E25" i="1"/>
  <c r="E32" i="1" s="1"/>
  <c r="S28" i="2"/>
  <c r="S20" i="2"/>
  <c r="S5" i="2"/>
  <c r="S9" i="2"/>
  <c r="S13" i="2"/>
  <c r="S23" i="2"/>
  <c r="S14" i="2"/>
  <c r="S18" i="2"/>
  <c r="F43" i="1"/>
  <c r="S24" i="2"/>
  <c r="S17" i="2"/>
  <c r="S7" i="2"/>
  <c r="S27" i="2"/>
  <c r="S16" i="2"/>
  <c r="D43" i="1"/>
  <c r="S2" i="2"/>
  <c r="S6" i="2"/>
  <c r="S10" i="2"/>
  <c r="S19" i="2"/>
  <c r="H43" i="1"/>
  <c r="L43" i="1"/>
  <c r="I43" i="1"/>
  <c r="J43" i="1"/>
  <c r="N43" i="1"/>
  <c r="H28" i="1"/>
  <c r="E36" i="1"/>
  <c r="E17" i="1"/>
  <c r="P17" i="1" s="1"/>
  <c r="G7" i="1" s="1"/>
  <c r="P4" i="2"/>
  <c r="S4" i="2" s="1"/>
  <c r="F25" i="1"/>
  <c r="F32" i="1" s="1"/>
  <c r="H26" i="1"/>
  <c r="G25" i="1"/>
  <c r="D25" i="1"/>
  <c r="D32" i="1" s="1"/>
  <c r="G26" i="1"/>
  <c r="E38" i="1"/>
  <c r="P38" i="1" s="1"/>
  <c r="E27" i="1"/>
  <c r="F27" i="1"/>
  <c r="I27" i="1" s="1"/>
  <c r="M43" i="1"/>
  <c r="O3" i="4"/>
  <c r="O43" i="1"/>
  <c r="P4" i="4"/>
  <c r="P37" i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H25" i="1" l="1"/>
  <c r="E7" i="1"/>
  <c r="O7" i="1"/>
  <c r="I7" i="1"/>
  <c r="G27" i="1"/>
  <c r="G32" i="1" s="1"/>
  <c r="P3" i="4"/>
  <c r="I32" i="1"/>
  <c r="I25" i="1"/>
  <c r="E43" i="1"/>
  <c r="P36" i="1"/>
  <c r="P43" i="1" s="1"/>
  <c r="K7" i="1"/>
  <c r="M7" i="1" l="1"/>
  <c r="H27" i="1"/>
  <c r="H32" i="1" s="1"/>
</calcChain>
</file>

<file path=xl/sharedStrings.xml><?xml version="1.0" encoding="utf-8"?>
<sst xmlns="http://schemas.openxmlformats.org/spreadsheetml/2006/main" count="312" uniqueCount="157">
  <si>
    <t>(주) 넷폼알앤디 2026년 매출현황</t>
  </si>
  <si>
    <t>목표매출</t>
  </si>
  <si>
    <t>계약매출</t>
  </si>
  <si>
    <t>확정매출</t>
  </si>
  <si>
    <t>달성률</t>
  </si>
  <si>
    <t>수금예정액</t>
  </si>
  <si>
    <t>관리미수금</t>
  </si>
  <si>
    <t>수금률</t>
  </si>
  <si>
    <t>1. 월별 계약 매출</t>
  </si>
  <si>
    <t>계약일기준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</si>
  <si>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</si>
  <si>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</si>
  <si>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</si>
  <si>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</si>
  <si>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</si>
  <si>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</si>
  <si>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</si>
  <si>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</si>
  <si>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</si>
  <si>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</si>
  <si>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</si>
  <si>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</si>
  <si>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합계</t>
  </si>
  <si>
    <t>총액</t>
  </si>
  <si>
    <t>2. 월별 확정 매출</t>
  </si>
  <si>
    <t>매출일기준</t>
  </si>
  <si>
    <t>3. 카테고리별 매출</t>
  </si>
  <si>
    <t>매출구분</t>
  </si>
  <si>
    <t>현장수</t>
  </si>
  <si>
    <t>컨설팅</t>
  </si>
  <si>
    <t>S/N솔루션</t>
  </si>
  <si>
    <t>특허기술자문료</t>
  </si>
  <si>
    <t>자재판매</t>
  </si>
  <si>
    <t>포어스토어</t>
  </si>
  <si>
    <t>-</t>
  </si>
  <si>
    <t>그로홈</t>
  </si>
  <si>
    <t>모여라딜</t>
  </si>
  <si>
    <t>4. 카테고리별 월별 매출</t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</si>
  <si>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</si>
  <si>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</si>
  <si>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</si>
  <si>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</si>
  <si>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</si>
  <si>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</si>
  <si>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</si>
  <si>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</si>
  <si>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</si>
  <si>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</si>
  <si>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</si>
  <si>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</si>
  <si>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</si>
  <si>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미수금액(V+)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</si>
  <si>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</si>
  <si>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</si>
  <si>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</si>
  <si>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</si>
  <si>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</si>
  <si>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</si>
  <si>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</si>
  <si>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</si>
  <si>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</si>
  <si>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</si>
  <si>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</si>
  <si>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</si>
  <si>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자재판매가</t>
  </si>
  <si>
    <t>컨설팅 순이익금</t>
  </si>
  <si>
    <t>이익률</t>
  </si>
  <si>
    <t>자재원가</t>
  </si>
  <si>
    <t>이익금액</t>
  </si>
  <si>
    <t>컨설팅현장</t>
  </si>
  <si>
    <t>석민이앤씨</t>
  </si>
  <si>
    <t>강서힐스테이트</t>
  </si>
  <si>
    <t>선금</t>
  </si>
  <si>
    <t>중도금</t>
  </si>
  <si>
    <t>잔금</t>
  </si>
  <si>
    <t>여름건설</t>
  </si>
  <si>
    <t>자양10차현대홈타운</t>
  </si>
  <si>
    <t>광더파크빌</t>
  </si>
  <si>
    <t>기림이앤씨</t>
  </si>
  <si>
    <t>해누리선경</t>
  </si>
  <si>
    <t>지웰시티푸르지오1단지오피스텔</t>
  </si>
  <si>
    <t>건진개발</t>
  </si>
  <si>
    <t>덕천동롯데</t>
  </si>
  <si>
    <t>덕수건설</t>
  </si>
  <si>
    <t>푸른뫼</t>
  </si>
  <si>
    <t>동탄역시범한화꿈에그린
프레스티지</t>
  </si>
  <si>
    <t>색채산업개발</t>
  </si>
  <si>
    <t>토당금강KCC</t>
  </si>
  <si>
    <t>낙찰금액(v-)</t>
  </si>
  <si>
    <t>계약금액(v-)</t>
  </si>
  <si>
    <t>입금액(V+)</t>
  </si>
  <si>
    <t>미수금(V+)</t>
  </si>
  <si>
    <t>여름건설(주)</t>
  </si>
  <si>
    <t>홍성미성</t>
  </si>
  <si>
    <t>특허료 비율</t>
  </si>
  <si>
    <t>자재판매(v-)</t>
  </si>
  <si>
    <t>매출액(v-)</t>
  </si>
  <si>
    <t>공문발송일</t>
  </si>
  <si>
    <t>입금액(v+)</t>
  </si>
  <si>
    <t>미수금(v+)</t>
  </si>
  <si>
    <t>이음건설</t>
  </si>
  <si>
    <t>목감신안인스빌엘센트로</t>
  </si>
  <si>
    <t>힐스테이트광교</t>
  </si>
  <si>
    <t>은성이엔씨</t>
  </si>
  <si>
    <t>삼성버킹궁</t>
  </si>
  <si>
    <t>대동중앙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</si>
  <si>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</si>
  <si>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</si>
  <si>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</si>
  <si>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</si>
  <si>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</si>
  <si>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</si>
  <si>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</si>
  <si>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</si>
  <si>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</si>
  <si>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</si>
  <si>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</si>
  <si>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</si>
  <si>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전자세금계산서종류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</si>
  <si>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</si>
  <si>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</si>
  <si>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</si>
  <si>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</si>
  <si>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</si>
  <si>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</si>
  <si>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</si>
  <si>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</si>
  <si>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</si>
  <si>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</si>
  <si>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</si>
  <si>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</si>
  <si>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</si>
  <si>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미수금액</t>
  </si>
  <si>
    <t>20251218-10251218-74118314</t>
  </si>
  <si>
    <t>2025-12-18</t>
  </si>
  <si>
    <t>403-81-84528</t>
  </si>
  <si>
    <t>주식회사 넷폼알앤디(NETFORM R&amp;D Corp.)</t>
  </si>
  <si>
    <t>이승우</t>
  </si>
  <si>
    <t>경기도 오산시 서동로 77, 1층,3층(서동)</t>
  </si>
  <si>
    <t>607-81-61243</t>
  </si>
  <si>
    <t>(주)일성기업</t>
  </si>
  <si>
    <t>천상우</t>
  </si>
  <si>
    <t>부산광역시 동래구 반송로 317</t>
  </si>
  <si>
    <t>세금계산서</t>
  </si>
  <si>
    <t>일반</t>
  </si>
  <si>
    <t>인터넷발급</t>
  </si>
  <si>
    <t>기업은행 468-084895-04-017 넷폼알앤디</t>
  </si>
  <si>
    <t>청구</t>
  </si>
  <si>
    <t>netform@netformrnd.com</t>
  </si>
  <si>
    <t>ilsung7704@naver.com</t>
  </si>
  <si>
    <t>자재대금</t>
  </si>
  <si>
    <t>1</t>
  </si>
  <si>
    <t>11,000,000</t>
  </si>
  <si>
    <t>대연경동메르빌</t>
  </si>
  <si>
    <t>관리미수금 (매출발생+30 Day)</t>
    <phoneticPr fontId="11" type="noConversion"/>
  </si>
  <si>
    <t>신나영</t>
    <phoneticPr fontId="11" type="noConversion"/>
  </si>
  <si>
    <r>
      <rPr>
        <b/>
        <sz val="10"/>
        <color theme="0"/>
        <rFont val="맑은 고딕"/>
        <family val="3"/>
        <charset val="129"/>
      </rPr>
      <t>입금액</t>
    </r>
    <r>
      <rPr>
        <b/>
        <sz val="10"/>
        <color theme="0"/>
        <rFont val="Arial"/>
        <family val="2"/>
      </rPr>
      <t>(V+)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</si>
</sst>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m/d/yyyy"/>
    <numFmt numFmtId="177" formatCode="_-* #,##0_-;\-* #,##0_-;_-* \-_-;_-@_-"/>
    <numFmt numFmtId="178" formatCode="_-* #,##0.0_-;\-* #,##0.0_-;_-* \-?_-;_-@_-"/>
    <numFmt numFmtId="179" formatCode="yyyy\-mm\-dd"/>
    <numFmt numFmtId="180" formatCode="0.0%"/>
  </numFmts>
  <fonts count="28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11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name val="Noto Sans CJK SC"/>
      <family val="2"/>
      <charset val="1"/>
    </font>
    <font>
      <sz val="10"/>
      <name val="Noto Sans CJK SC"/>
      <family val="2"/>
      <charset val="1"/>
    </font>
    <font>
      <sz val="8"/>
      <name val="맑은 고딕"/>
      <family val="2"/>
      <charset val="129"/>
    </font>
    <font>
      <b/>
      <sz val="10"/>
      <color theme="0"/>
      <name val="맑은 고딕"/>
      <family val="3"/>
      <charset val="129"/>
    </font>
    <font>
      <sz val="11"/>
      <color rgb="FFAAAAAA"/>
      <name val="맑은 고딕"/>
      <family val="3"/>
      <charset val="129"/>
    </font>
    <font>
      <b/>
      <sz val="10"/>
      <color theme="0"/>
      <name val="Noto Sans CJK SC"/>
      <family val="3"/>
      <charset val="129"/>
    </font>
    <font>
      <sz val="11"/>
      <color theme="1"/>
      <name val="맑은 고딕"/>
      <family val="2"/>
      <charset val="129"/>
    </font>
    <font>
      <sz val="10"/>
      <color theme="0" tint="-0.34998626667073579"/>
      <name val="맑은 고딕"/>
      <family val="3"/>
      <charset val="129"/>
    </font>
    <font>
      <sz val="1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4"/>
      <color rgb="FF2C3E50"/>
      <name val="맑은 고딕"/>
      <family val="3"/>
      <charset val="129"/>
    </font>
    <font>
      <b/>
      <sz val="11"/>
      <color rgb="FF2C3E5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1"/>
      <color rgb="FF2C3E50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7F8C8D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rgb="FFE6F3FF"/>
      </patternFill>
    </fill>
    <fill>
      <patternFill patternType="solid">
        <fgColor theme="3" tint="0.24933622241889705"/>
        <bgColor rgb="FF1F4E79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0.249977111117893"/>
        <bgColor rgb="FFA6A6A6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E74C3C"/>
        <bgColor rgb="FFE74C3C"/>
      </patternFill>
    </fill>
    <fill>
      <patternFill patternType="solid">
        <fgColor rgb="FF27AE60"/>
        <bgColor rgb="FF27AE60"/>
      </patternFill>
    </fill>
    <fill>
      <patternFill patternType="solid">
        <fgColor rgb="FFD5F5E3"/>
        <bgColor rgb="FFD5F5E3"/>
      </patternFill>
    </fill>
    <fill>
      <patternFill patternType="solid">
        <fgColor rgb="FF3498DB"/>
        <bgColor rgb="FF3498DB"/>
      </patternFill>
    </fill>
    <fill>
      <patternFill patternType="solid">
        <fgColor rgb="FFD6EAF8"/>
        <bgColor rgb="FFD6EAF8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2C3E50"/>
        <bgColor rgb="FF2C3E50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D6DBDF"/>
        <bgColor rgb="FFD6DBDF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medium">
        <color auto="1"/>
      </left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 tint="-0.1499984740745262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/>
      <diagonal/>
    </border>
    <border>
      <left style="medium">
        <color theme="0" tint="-0.14990691854609822"/>
      </left>
      <right/>
      <top style="medium">
        <color theme="0" tint="-0.14990691854609822"/>
      </top>
      <bottom/>
      <diagonal/>
    </border>
    <border>
      <left/>
      <right/>
      <top style="medium">
        <color theme="0" tint="-0.14990691854609822"/>
      </top>
      <bottom/>
      <diagonal/>
    </border>
    <border>
      <left/>
      <right style="medium">
        <color theme="0" tint="-0.14990691854609822"/>
      </right>
      <top style="medium">
        <color theme="0" tint="-0.14990691854609822"/>
      </top>
      <bottom/>
      <diagonal/>
    </border>
    <border>
      <left style="medium">
        <color theme="0" tint="-0.14990691854609822"/>
      </left>
      <right/>
      <top/>
      <bottom/>
      <diagonal/>
    </border>
    <border>
      <left/>
      <right style="medium">
        <color theme="0" tint="-0.14990691854609822"/>
      </right>
      <top/>
      <bottom/>
      <diagonal/>
    </border>
    <border>
      <left style="thin">
        <color theme="0" tint="-0.14990691854609822"/>
      </left>
      <right/>
      <top style="thin">
        <color theme="0" tint="-0.14990691854609822"/>
      </top>
      <bottom style="thin">
        <color theme="0" tint="-0.14990691854609822"/>
      </bottom>
      <diagonal/>
    </border>
    <border>
      <left/>
      <right/>
      <top style="thin">
        <color theme="0" tint="-0.14990691854609822"/>
      </top>
      <bottom style="thin">
        <color theme="0" tint="-0.14990691854609822"/>
      </bottom>
      <diagonal/>
    </border>
    <border>
      <left/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medium">
        <color theme="0" tint="-0.14990691854609822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0691854609822"/>
      </right>
      <top/>
      <bottom style="medium">
        <color theme="0" tint="-0.1498764000366222"/>
      </bottom>
      <diagonal/>
    </border>
    <border>
      <left style="medium">
        <color theme="0" tint="-0.1498764000366222"/>
      </left>
      <right/>
      <top style="medium">
        <color theme="0" tint="-0.1498764000366222"/>
      </top>
      <bottom/>
      <diagonal/>
    </border>
    <border>
      <left/>
      <right/>
      <top style="medium">
        <color theme="0" tint="-0.1498764000366222"/>
      </top>
      <bottom/>
      <diagonal/>
    </border>
    <border>
      <left/>
      <right style="medium">
        <color theme="0" tint="-0.1498764000366222"/>
      </right>
      <top style="medium">
        <color theme="0" tint="-0.1498764000366222"/>
      </top>
      <bottom/>
      <diagonal/>
    </border>
    <border>
      <left style="medium">
        <color theme="0" tint="-0.1498764000366222"/>
      </left>
      <right/>
      <top/>
      <bottom/>
      <diagonal/>
    </border>
    <border>
      <left/>
      <right style="medium">
        <color theme="0" tint="-0.1498764000366222"/>
      </right>
      <top/>
      <bottom/>
      <diagonal/>
    </border>
    <border>
      <left style="medium">
        <color theme="0" tint="-0.1498764000366222"/>
      </left>
      <right/>
      <top/>
      <bottom style="medium">
        <color theme="0" tint="-0.1498764000366222"/>
      </bottom>
      <diagonal/>
    </border>
    <border>
      <left/>
      <right style="medium">
        <color theme="0" tint="-0.1498764000366222"/>
      </right>
      <top/>
      <bottom style="medium">
        <color theme="0" tint="-0.1498764000366222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</borders>
  <cellStyleXfs count="4">
    <xf numFmtId="0" fontId="0" fillId="0" borderId="26">
      <alignment vertical="center"/>
    </xf>
    <xf numFmtId="0" fontId="1" fillId="0" borderId="26">
      <alignment vertical="center"/>
    </xf>
    <xf numFmtId="41" fontId="1" fillId="0" borderId="26">
      <alignment vertical="center"/>
    </xf>
    <xf numFmtId="41" fontId="15" fillId="0" borderId="26">
      <alignment vertical="center"/>
    </xf>
  </cellStyleXfs>
  <cellXfs count="226">
    <xf numFmtId="0" fontId="0" fillId="0" borderId="0" xfId="0" applyBorder="1">
      <alignment vertical="center"/>
    </xf>
    <xf numFmtId="0" fontId="0" fillId="0" borderId="0" xfId="0" applyBorder="1" applyAlignment="1"/>
    <xf numFmtId="0" fontId="2" fillId="0" borderId="0" xfId="0" applyFont="1" applyBorder="1">
      <alignment vertical="center"/>
    </xf>
    <xf numFmtId="176" fontId="2" fillId="2" borderId="0" xfId="0" applyNumberFormat="1" applyFont="1" applyFill="1" applyBorder="1">
      <alignment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>
      <alignment vertical="center"/>
    </xf>
    <xf numFmtId="177" fontId="2" fillId="0" borderId="0" xfId="0" applyNumberFormat="1" applyFont="1" applyBorder="1">
      <alignment vertical="center"/>
    </xf>
    <xf numFmtId="3" fontId="2" fillId="0" borderId="0" xfId="0" applyNumberFormat="1" applyFont="1" applyBorder="1">
      <alignment vertical="center"/>
    </xf>
    <xf numFmtId="3" fontId="4" fillId="3" borderId="2" xfId="0" applyNumberFormat="1" applyFont="1" applyFill="1" applyBorder="1" applyAlignment="1">
      <alignment horizontal="center" vertical="center" wrapText="1"/>
    </xf>
    <xf numFmtId="176" fontId="4" fillId="3" borderId="2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4" fillId="3" borderId="1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176" fontId="2" fillId="2" borderId="4" xfId="0" applyNumberFormat="1" applyFont="1" applyFill="1" applyBorder="1">
      <alignment vertical="center"/>
    </xf>
    <xf numFmtId="177" fontId="2" fillId="0" borderId="4" xfId="0" applyNumberFormat="1" applyFont="1" applyBorder="1">
      <alignment vertical="center"/>
    </xf>
    <xf numFmtId="9" fontId="2" fillId="0" borderId="4" xfId="0" applyNumberFormat="1" applyFont="1" applyBorder="1" applyAlignment="1">
      <alignment horizontal="center" vertical="center"/>
    </xf>
    <xf numFmtId="3" fontId="2" fillId="0" borderId="4" xfId="0" applyNumberFormat="1" applyFont="1" applyBorder="1">
      <alignment vertical="center"/>
    </xf>
    <xf numFmtId="177" fontId="3" fillId="0" borderId="4" xfId="0" applyNumberFormat="1" applyFont="1" applyBorder="1">
      <alignment vertical="center"/>
    </xf>
    <xf numFmtId="177" fontId="2" fillId="0" borderId="5" xfId="0" applyNumberFormat="1" applyFont="1" applyBorder="1">
      <alignment vertical="center"/>
    </xf>
    <xf numFmtId="0" fontId="2" fillId="0" borderId="6" xfId="0" applyFont="1" applyBorder="1" applyAlignment="1">
      <alignment horizontal="center" vertical="center"/>
    </xf>
    <xf numFmtId="0" fontId="5" fillId="0" borderId="7" xfId="0" applyFont="1" applyBorder="1">
      <alignment vertical="center"/>
    </xf>
    <xf numFmtId="177" fontId="2" fillId="0" borderId="7" xfId="0" applyNumberFormat="1" applyFont="1" applyBorder="1">
      <alignment vertical="center"/>
    </xf>
    <xf numFmtId="9" fontId="2" fillId="0" borderId="7" xfId="0" applyNumberFormat="1" applyFont="1" applyBorder="1" applyAlignment="1">
      <alignment horizontal="center" vertical="center"/>
    </xf>
    <xf numFmtId="3" fontId="2" fillId="0" borderId="7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7" fontId="2" fillId="0" borderId="8" xfId="0" applyNumberFormat="1" applyFont="1" applyBorder="1">
      <alignment vertical="center"/>
    </xf>
    <xf numFmtId="177" fontId="3" fillId="0" borderId="0" xfId="0" applyNumberFormat="1" applyFont="1" applyBorder="1">
      <alignment vertical="center"/>
    </xf>
    <xf numFmtId="176" fontId="2" fillId="0" borderId="0" xfId="0" applyNumberFormat="1" applyFont="1" applyBorder="1">
      <alignment vertical="center"/>
    </xf>
    <xf numFmtId="0" fontId="2" fillId="2" borderId="0" xfId="0" applyFont="1" applyFill="1" applyBorder="1" applyAlignment="1">
      <alignment horizontal="center" vertical="center"/>
    </xf>
    <xf numFmtId="3" fontId="4" fillId="3" borderId="9" xfId="0" applyNumberFormat="1" applyFont="1" applyFill="1" applyBorder="1" applyAlignment="1">
      <alignment horizontal="center" vertical="center" wrapText="1"/>
    </xf>
    <xf numFmtId="176" fontId="4" fillId="3" borderId="9" xfId="0" applyNumberFormat="1" applyFont="1" applyFill="1" applyBorder="1" applyAlignment="1">
      <alignment horizontal="center" vertical="center" wrapText="1"/>
    </xf>
    <xf numFmtId="177" fontId="4" fillId="3" borderId="9" xfId="0" applyNumberFormat="1" applyFont="1" applyFill="1" applyBorder="1" applyAlignment="1">
      <alignment horizontal="center" vertical="center"/>
    </xf>
    <xf numFmtId="3" fontId="2" fillId="2" borderId="0" xfId="0" applyNumberFormat="1" applyFont="1" applyFill="1" applyBorder="1" applyAlignment="1">
      <alignment horizontal="center" vertical="center"/>
    </xf>
    <xf numFmtId="0" fontId="2" fillId="2" borderId="3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2" fillId="2" borderId="4" xfId="0" applyFont="1" applyFill="1" applyBorder="1">
      <alignment vertical="center"/>
    </xf>
    <xf numFmtId="177" fontId="2" fillId="2" borderId="4" xfId="0" applyNumberFormat="1" applyFont="1" applyFill="1" applyBorder="1">
      <alignment vertical="center"/>
    </xf>
    <xf numFmtId="177" fontId="3" fillId="2" borderId="4" xfId="0" applyNumberFormat="1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5" fillId="2" borderId="7" xfId="0" applyFont="1" applyFill="1" applyBorder="1">
      <alignment vertical="center"/>
    </xf>
    <xf numFmtId="0" fontId="2" fillId="2" borderId="7" xfId="0" applyFont="1" applyFill="1" applyBorder="1">
      <alignment vertical="center"/>
    </xf>
    <xf numFmtId="177" fontId="3" fillId="2" borderId="7" xfId="0" applyNumberFormat="1" applyFont="1" applyFill="1" applyBorder="1">
      <alignment vertical="center"/>
    </xf>
    <xf numFmtId="0" fontId="6" fillId="0" borderId="0" xfId="0" applyFont="1" applyBorder="1" applyAlignment="1"/>
    <xf numFmtId="177" fontId="7" fillId="0" borderId="0" xfId="0" applyNumberFormat="1" applyFont="1" applyBorder="1" applyAlignment="1"/>
    <xf numFmtId="176" fontId="6" fillId="0" borderId="0" xfId="0" applyNumberFormat="1" applyFont="1" applyBorder="1" applyAlignment="1"/>
    <xf numFmtId="0" fontId="6" fillId="0" borderId="0" xfId="0" applyFont="1" applyBorder="1" applyAlignment="1">
      <alignment horizontal="center"/>
    </xf>
    <xf numFmtId="0" fontId="6" fillId="0" borderId="0" xfId="0" applyFont="1" applyBorder="1">
      <alignment vertical="center"/>
    </xf>
    <xf numFmtId="0" fontId="6" fillId="2" borderId="0" xfId="0" applyFont="1" applyFill="1" applyBorder="1">
      <alignment vertical="center"/>
    </xf>
    <xf numFmtId="0" fontId="4" fillId="3" borderId="12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176" fontId="4" fillId="3" borderId="13" xfId="0" applyNumberFormat="1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 wrapText="1"/>
    </xf>
    <xf numFmtId="0" fontId="9" fillId="5" borderId="12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4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7" fillId="0" borderId="0" xfId="0" applyFont="1" applyBorder="1">
      <alignment vertical="center"/>
    </xf>
    <xf numFmtId="0" fontId="7" fillId="2" borderId="16" xfId="0" applyFont="1" applyFill="1" applyBorder="1">
      <alignment vertical="center"/>
    </xf>
    <xf numFmtId="0" fontId="10" fillId="2" borderId="4" xfId="0" applyFont="1" applyFill="1" applyBorder="1">
      <alignment vertical="center"/>
    </xf>
    <xf numFmtId="177" fontId="7" fillId="0" borderId="4" xfId="0" applyNumberFormat="1" applyFont="1" applyBorder="1">
      <alignment vertical="center"/>
    </xf>
    <xf numFmtId="177" fontId="10" fillId="2" borderId="4" xfId="0" applyNumberFormat="1" applyFont="1" applyFill="1" applyBorder="1">
      <alignment vertical="center"/>
    </xf>
    <xf numFmtId="176" fontId="7" fillId="2" borderId="4" xfId="0" applyNumberFormat="1" applyFont="1" applyFill="1" applyBorder="1">
      <alignment vertical="center"/>
    </xf>
    <xf numFmtId="177" fontId="7" fillId="2" borderId="4" xfId="0" applyNumberFormat="1" applyFont="1" applyFill="1" applyBorder="1">
      <alignment vertical="center"/>
    </xf>
    <xf numFmtId="177" fontId="7" fillId="0" borderId="17" xfId="0" applyNumberFormat="1" applyFont="1" applyBorder="1" applyAlignment="1">
      <alignment horizontal="center" vertical="center"/>
    </xf>
    <xf numFmtId="177" fontId="10" fillId="0" borderId="18" xfId="0" applyNumberFormat="1" applyFont="1" applyBorder="1">
      <alignment vertical="center"/>
    </xf>
    <xf numFmtId="177" fontId="7" fillId="0" borderId="5" xfId="0" applyNumberFormat="1" applyFont="1" applyBorder="1">
      <alignment vertical="center"/>
    </xf>
    <xf numFmtId="177" fontId="7" fillId="0" borderId="17" xfId="0" applyNumberFormat="1" applyFont="1" applyBorder="1">
      <alignment vertical="center"/>
    </xf>
    <xf numFmtId="9" fontId="7" fillId="0" borderId="5" xfId="0" applyNumberFormat="1" applyFont="1" applyBorder="1">
      <alignment vertical="center"/>
    </xf>
    <xf numFmtId="177" fontId="7" fillId="0" borderId="19" xfId="0" applyNumberFormat="1" applyFont="1" applyBorder="1">
      <alignment vertical="center"/>
    </xf>
    <xf numFmtId="9" fontId="0" fillId="0" borderId="0" xfId="0" applyNumberFormat="1" applyBorder="1">
      <alignment vertical="center"/>
    </xf>
    <xf numFmtId="0" fontId="7" fillId="2" borderId="0" xfId="0" applyFont="1" applyFill="1" applyBorder="1">
      <alignment vertical="center"/>
    </xf>
    <xf numFmtId="0" fontId="2" fillId="2" borderId="16" xfId="0" applyFont="1" applyFill="1" applyBorder="1">
      <alignment vertical="center"/>
    </xf>
    <xf numFmtId="177" fontId="5" fillId="2" borderId="4" xfId="0" applyNumberFormat="1" applyFont="1" applyFill="1" applyBorder="1">
      <alignment vertical="center"/>
    </xf>
    <xf numFmtId="178" fontId="2" fillId="2" borderId="4" xfId="0" applyNumberFormat="1" applyFont="1" applyFill="1" applyBorder="1">
      <alignment vertical="center"/>
    </xf>
    <xf numFmtId="177" fontId="2" fillId="0" borderId="17" xfId="0" applyNumberFormat="1" applyFont="1" applyBorder="1" applyAlignment="1">
      <alignment horizontal="center" vertical="center"/>
    </xf>
    <xf numFmtId="177" fontId="2" fillId="0" borderId="18" xfId="0" applyNumberFormat="1" applyFont="1" applyBorder="1">
      <alignment vertical="center"/>
    </xf>
    <xf numFmtId="177" fontId="2" fillId="0" borderId="17" xfId="0" applyNumberFormat="1" applyFont="1" applyBorder="1">
      <alignment vertical="center"/>
    </xf>
    <xf numFmtId="177" fontId="2" fillId="0" borderId="19" xfId="0" applyNumberFormat="1" applyFont="1" applyBorder="1">
      <alignment vertical="center"/>
    </xf>
    <xf numFmtId="0" fontId="2" fillId="2" borderId="0" xfId="0" applyFont="1" applyFill="1" applyBorder="1">
      <alignment vertical="center"/>
    </xf>
    <xf numFmtId="0" fontId="2" fillId="2" borderId="20" xfId="0" applyFont="1" applyFill="1" applyBorder="1">
      <alignment vertical="center"/>
    </xf>
    <xf numFmtId="0" fontId="2" fillId="2" borderId="21" xfId="0" applyFont="1" applyFill="1" applyBorder="1">
      <alignment vertical="center"/>
    </xf>
    <xf numFmtId="0" fontId="5" fillId="2" borderId="21" xfId="0" applyFont="1" applyFill="1" applyBorder="1">
      <alignment vertical="center"/>
    </xf>
    <xf numFmtId="177" fontId="5" fillId="2" borderId="21" xfId="0" applyNumberFormat="1" applyFont="1" applyFill="1" applyBorder="1">
      <alignment vertical="center"/>
    </xf>
    <xf numFmtId="176" fontId="2" fillId="2" borderId="21" xfId="0" applyNumberFormat="1" applyFont="1" applyFill="1" applyBorder="1">
      <alignment vertical="center"/>
    </xf>
    <xf numFmtId="177" fontId="2" fillId="2" borderId="21" xfId="0" applyNumberFormat="1" applyFont="1" applyFill="1" applyBorder="1">
      <alignment vertical="center"/>
    </xf>
    <xf numFmtId="177" fontId="2" fillId="0" borderId="22" xfId="0" applyNumberFormat="1" applyFont="1" applyBorder="1" applyAlignment="1">
      <alignment horizontal="center" vertical="center"/>
    </xf>
    <xf numFmtId="177" fontId="2" fillId="0" borderId="23" xfId="0" applyNumberFormat="1" applyFont="1" applyBorder="1">
      <alignment vertical="center"/>
    </xf>
    <xf numFmtId="177" fontId="2" fillId="0" borderId="24" xfId="0" applyNumberFormat="1" applyFont="1" applyBorder="1">
      <alignment vertical="center"/>
    </xf>
    <xf numFmtId="177" fontId="2" fillId="0" borderId="22" xfId="0" applyNumberFormat="1" applyFont="1" applyBorder="1">
      <alignment vertical="center"/>
    </xf>
    <xf numFmtId="177" fontId="2" fillId="0" borderId="25" xfId="0" applyNumberFormat="1" applyFont="1" applyBorder="1">
      <alignment vertical="center"/>
    </xf>
    <xf numFmtId="0" fontId="6" fillId="0" borderId="0" xfId="0" applyFont="1" applyBorder="1" applyAlignment="1">
      <alignment horizontal="center" vertical="center"/>
    </xf>
    <xf numFmtId="0" fontId="0" fillId="6" borderId="0" xfId="0" applyFill="1" applyBorder="1" applyAlignment="1"/>
    <xf numFmtId="0" fontId="0" fillId="7" borderId="0" xfId="0" applyFill="1" applyBorder="1">
      <alignment vertical="center"/>
    </xf>
    <xf numFmtId="0" fontId="12" fillId="3" borderId="13" xfId="0" applyFont="1" applyFill="1" applyBorder="1" applyAlignment="1">
      <alignment horizontal="center" vertical="center" wrapText="1"/>
    </xf>
    <xf numFmtId="179" fontId="2" fillId="0" borderId="4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9" fontId="2" fillId="2" borderId="4" xfId="0" applyNumberFormat="1" applyFont="1" applyFill="1" applyBorder="1" applyAlignment="1">
      <alignment horizontal="center" vertical="center"/>
    </xf>
    <xf numFmtId="179" fontId="2" fillId="2" borderId="7" xfId="0" applyNumberFormat="1" applyFont="1" applyFill="1" applyBorder="1" applyAlignment="1">
      <alignment horizontal="center" vertical="center"/>
    </xf>
    <xf numFmtId="179" fontId="7" fillId="2" borderId="4" xfId="0" applyNumberFormat="1" applyFont="1" applyFill="1" applyBorder="1" applyAlignment="1">
      <alignment horizontal="center" vertical="center"/>
    </xf>
    <xf numFmtId="179" fontId="2" fillId="2" borderId="21" xfId="0" applyNumberFormat="1" applyFont="1" applyFill="1" applyBorder="1" applyAlignment="1">
      <alignment horizontal="center" vertical="center"/>
    </xf>
    <xf numFmtId="17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9" fontId="2" fillId="2" borderId="4" xfId="0" applyNumberFormat="1" applyFont="1" applyFill="1" applyBorder="1">
      <alignment vertical="center"/>
    </xf>
    <xf numFmtId="179" fontId="2" fillId="0" borderId="4" xfId="0" applyNumberFormat="1" applyFont="1" applyBorder="1">
      <alignment vertical="center"/>
    </xf>
    <xf numFmtId="179" fontId="2" fillId="2" borderId="7" xfId="0" applyNumberFormat="1" applyFont="1" applyFill="1" applyBorder="1">
      <alignment vertical="center"/>
    </xf>
    <xf numFmtId="179" fontId="2" fillId="0" borderId="7" xfId="0" applyNumberFormat="1" applyFont="1" applyBorder="1">
      <alignment vertical="center"/>
    </xf>
    <xf numFmtId="179" fontId="2" fillId="2" borderId="6" xfId="0" applyNumberFormat="1" applyFont="1" applyFill="1" applyBorder="1">
      <alignment vertical="center"/>
    </xf>
    <xf numFmtId="0" fontId="13" fillId="2" borderId="4" xfId="0" applyFont="1" applyFill="1" applyBorder="1">
      <alignment vertical="center"/>
    </xf>
    <xf numFmtId="177" fontId="13" fillId="0" borderId="4" xfId="0" applyNumberFormat="1" applyFont="1" applyBorder="1">
      <alignment vertical="center"/>
    </xf>
    <xf numFmtId="177" fontId="13" fillId="0" borderId="18" xfId="0" applyNumberFormat="1" applyFont="1" applyBorder="1">
      <alignment vertical="center"/>
    </xf>
    <xf numFmtId="0" fontId="13" fillId="2" borderId="21" xfId="0" applyFont="1" applyFill="1" applyBorder="1">
      <alignment vertical="center"/>
    </xf>
    <xf numFmtId="177" fontId="13" fillId="0" borderId="21" xfId="0" applyNumberFormat="1" applyFont="1" applyBorder="1">
      <alignment vertical="center"/>
    </xf>
    <xf numFmtId="3" fontId="12" fillId="3" borderId="2" xfId="0" applyNumberFormat="1" applyFont="1" applyFill="1" applyBorder="1" applyAlignment="1">
      <alignment horizontal="center" vertical="center" wrapText="1"/>
    </xf>
    <xf numFmtId="177" fontId="14" fillId="3" borderId="1" xfId="0" applyNumberFormat="1" applyFont="1" applyFill="1" applyBorder="1" applyAlignment="1">
      <alignment horizontal="center" vertical="center"/>
    </xf>
    <xf numFmtId="3" fontId="14" fillId="3" borderId="9" xfId="0" applyNumberFormat="1" applyFont="1" applyFill="1" applyBorder="1" applyAlignment="1">
      <alignment horizontal="center" vertical="center" wrapText="1"/>
    </xf>
    <xf numFmtId="41" fontId="4" fillId="3" borderId="13" xfId="3" applyFont="1" applyFill="1" applyBorder="1" applyAlignment="1">
      <alignment horizontal="center" vertical="center" wrapText="1"/>
    </xf>
    <xf numFmtId="41" fontId="7" fillId="0" borderId="4" xfId="3" applyFont="1" applyBorder="1">
      <alignment vertical="center"/>
    </xf>
    <xf numFmtId="41" fontId="13" fillId="0" borderId="4" xfId="3" applyFont="1" applyBorder="1">
      <alignment vertical="center"/>
    </xf>
    <xf numFmtId="41" fontId="13" fillId="0" borderId="21" xfId="3" applyFont="1" applyBorder="1">
      <alignment vertical="center"/>
    </xf>
    <xf numFmtId="41" fontId="7" fillId="0" borderId="0" xfId="3" applyFont="1" applyBorder="1">
      <alignment vertical="center"/>
    </xf>
    <xf numFmtId="41" fontId="14" fillId="3" borderId="13" xfId="3" applyFont="1" applyFill="1" applyBorder="1" applyAlignment="1">
      <alignment horizontal="center" vertical="center" wrapText="1"/>
    </xf>
    <xf numFmtId="41" fontId="2" fillId="2" borderId="6" xfId="3" applyFont="1" applyFill="1" applyBorder="1">
      <alignment vertical="center"/>
    </xf>
    <xf numFmtId="41" fontId="0" fillId="0" borderId="0" xfId="3" applyFont="1" applyBorder="1" applyAlignment="1"/>
    <xf numFmtId="14" fontId="7" fillId="2" borderId="4" xfId="0" applyNumberFormat="1" applyFont="1" applyFill="1" applyBorder="1">
      <alignment vertical="center"/>
    </xf>
    <xf numFmtId="14" fontId="2" fillId="2" borderId="4" xfId="0" applyNumberFormat="1" applyFont="1" applyFill="1" applyBorder="1">
      <alignment vertical="center"/>
    </xf>
    <xf numFmtId="14" fontId="5" fillId="2" borderId="21" xfId="0" applyNumberFormat="1" applyFont="1" applyFill="1" applyBorder="1">
      <alignment vertical="center"/>
    </xf>
    <xf numFmtId="41" fontId="8" fillId="0" borderId="4" xfId="3" applyFont="1" applyBorder="1">
      <alignment vertical="center"/>
    </xf>
    <xf numFmtId="41" fontId="8" fillId="0" borderId="21" xfId="3" applyFont="1" applyBorder="1">
      <alignment vertical="center"/>
    </xf>
    <xf numFmtId="41" fontId="8" fillId="0" borderId="0" xfId="3" applyFont="1" applyBorder="1" applyAlignment="1"/>
    <xf numFmtId="41" fontId="2" fillId="2" borderId="7" xfId="3" applyFont="1" applyFill="1" applyBorder="1">
      <alignment vertical="center"/>
    </xf>
    <xf numFmtId="0" fontId="16" fillId="0" borderId="0" xfId="0" applyFont="1" applyBorder="1">
      <alignment vertical="center"/>
    </xf>
    <xf numFmtId="0" fontId="16" fillId="2" borderId="10" xfId="0" applyFont="1" applyFill="1" applyBorder="1">
      <alignment vertical="center"/>
    </xf>
    <xf numFmtId="0" fontId="16" fillId="2" borderId="11" xfId="0" applyFont="1" applyFill="1" applyBorder="1">
      <alignment vertical="center"/>
    </xf>
    <xf numFmtId="177" fontId="16" fillId="2" borderId="11" xfId="0" applyNumberFormat="1" applyFont="1" applyFill="1" applyBorder="1">
      <alignment vertical="center"/>
    </xf>
    <xf numFmtId="179" fontId="16" fillId="2" borderId="11" xfId="0" applyNumberFormat="1" applyFont="1" applyFill="1" applyBorder="1">
      <alignment vertical="center"/>
    </xf>
    <xf numFmtId="179" fontId="16" fillId="2" borderId="11" xfId="0" applyNumberFormat="1" applyFont="1" applyFill="1" applyBorder="1" applyAlignment="1">
      <alignment horizontal="center" vertical="center"/>
    </xf>
    <xf numFmtId="177" fontId="16" fillId="0" borderId="5" xfId="0" applyNumberFormat="1" applyFont="1" applyBorder="1" applyAlignment="1">
      <alignment horizontal="center" vertical="center"/>
    </xf>
    <xf numFmtId="177" fontId="5" fillId="2" borderId="7" xfId="0" applyNumberFormat="1" applyFont="1" applyFill="1" applyBorder="1">
      <alignment vertical="center"/>
    </xf>
    <xf numFmtId="177" fontId="8" fillId="2" borderId="11" xfId="0" applyNumberFormat="1" applyFont="1" applyFill="1" applyBorder="1">
      <alignment vertical="center"/>
    </xf>
    <xf numFmtId="0" fontId="2" fillId="0" borderId="0" xfId="0" applyFont="1" applyBorder="1" applyAlignment="1"/>
    <xf numFmtId="0" fontId="17" fillId="0" borderId="26" xfId="0" applyFont="1" applyAlignment="1"/>
    <xf numFmtId="0" fontId="17" fillId="0" borderId="26" xfId="0" applyFont="1" applyAlignment="1">
      <alignment horizontal="center" vertical="center"/>
    </xf>
    <xf numFmtId="180" fontId="17" fillId="0" borderId="26" xfId="0" applyNumberFormat="1" applyFont="1" applyAlignment="1">
      <alignment horizontal="center" vertical="center"/>
    </xf>
    <xf numFmtId="3" fontId="17" fillId="0" borderId="26" xfId="0" applyNumberFormat="1" applyFont="1" applyAlignment="1">
      <alignment horizontal="right" vertical="center"/>
    </xf>
    <xf numFmtId="180" fontId="17" fillId="0" borderId="26" xfId="0" applyNumberFormat="1" applyFont="1" applyAlignment="1">
      <alignment horizontal="right" vertical="center"/>
    </xf>
    <xf numFmtId="0" fontId="17" fillId="0" borderId="26" xfId="0" applyFont="1" applyAlignment="1">
      <alignment horizontal="right" vertical="center"/>
    </xf>
    <xf numFmtId="3" fontId="17" fillId="0" borderId="26" xfId="0" applyNumberFormat="1" applyFont="1" applyAlignment="1"/>
    <xf numFmtId="3" fontId="17" fillId="0" borderId="26" xfId="0" applyNumberFormat="1" applyFont="1" applyAlignment="1">
      <alignment horizontal="center" vertical="center"/>
    </xf>
    <xf numFmtId="0" fontId="19" fillId="0" borderId="26" xfId="0" applyFont="1" applyAlignment="1">
      <alignment horizontal="center" vertical="center"/>
    </xf>
    <xf numFmtId="0" fontId="17" fillId="0" borderId="27" xfId="0" applyFont="1" applyBorder="1" applyAlignment="1"/>
    <xf numFmtId="0" fontId="19" fillId="0" borderId="28" xfId="0" applyFont="1" applyBorder="1" applyAlignment="1">
      <alignment horizontal="center" vertical="center"/>
    </xf>
    <xf numFmtId="0" fontId="2" fillId="0" borderId="28" xfId="0" applyFont="1" applyBorder="1" applyAlignment="1"/>
    <xf numFmtId="0" fontId="0" fillId="0" borderId="28" xfId="0" applyBorder="1" applyAlignment="1"/>
    <xf numFmtId="0" fontId="17" fillId="0" borderId="28" xfId="0" applyFont="1" applyBorder="1" applyAlignment="1"/>
    <xf numFmtId="0" fontId="17" fillId="0" borderId="29" xfId="0" applyFont="1" applyBorder="1" applyAlignment="1"/>
    <xf numFmtId="0" fontId="17" fillId="0" borderId="30" xfId="0" applyFont="1" applyBorder="1" applyAlignment="1"/>
    <xf numFmtId="0" fontId="17" fillId="0" borderId="31" xfId="0" applyFont="1" applyBorder="1" applyAlignment="1"/>
    <xf numFmtId="0" fontId="17" fillId="0" borderId="31" xfId="0" applyFont="1" applyBorder="1" applyAlignment="1">
      <alignment horizontal="center" vertical="center"/>
    </xf>
    <xf numFmtId="180" fontId="17" fillId="0" borderId="31" xfId="0" applyNumberFormat="1" applyFont="1" applyBorder="1" applyAlignment="1">
      <alignment horizontal="center" vertical="center"/>
    </xf>
    <xf numFmtId="0" fontId="12" fillId="14" borderId="32" xfId="0" applyFont="1" applyFill="1" applyBorder="1" applyAlignment="1">
      <alignment horizontal="center"/>
    </xf>
    <xf numFmtId="0" fontId="17" fillId="0" borderId="35" xfId="0" applyFont="1" applyBorder="1" applyAlignment="1"/>
    <xf numFmtId="0" fontId="17" fillId="0" borderId="36" xfId="0" applyFont="1" applyBorder="1" applyAlignment="1"/>
    <xf numFmtId="0" fontId="17" fillId="0" borderId="37" xfId="0" applyFont="1" applyBorder="1" applyAlignment="1"/>
    <xf numFmtId="0" fontId="17" fillId="0" borderId="38" xfId="0" applyFont="1" applyBorder="1" applyAlignment="1"/>
    <xf numFmtId="0" fontId="17" fillId="0" borderId="39" xfId="0" applyFont="1" applyBorder="1" applyAlignment="1"/>
    <xf numFmtId="0" fontId="17" fillId="0" borderId="40" xfId="0" applyFont="1" applyBorder="1" applyAlignment="1"/>
    <xf numFmtId="0" fontId="17" fillId="0" borderId="41" xfId="0" applyFont="1" applyBorder="1" applyAlignment="1"/>
    <xf numFmtId="0" fontId="17" fillId="0" borderId="42" xfId="0" applyFont="1" applyBorder="1" applyAlignment="1"/>
    <xf numFmtId="0" fontId="17" fillId="0" borderId="43" xfId="0" applyFont="1" applyBorder="1" applyAlignment="1"/>
    <xf numFmtId="3" fontId="17" fillId="0" borderId="36" xfId="0" applyNumberFormat="1" applyFont="1" applyBorder="1" applyAlignment="1"/>
    <xf numFmtId="0" fontId="17" fillId="0" borderId="44" xfId="0" applyFont="1" applyBorder="1" applyAlignment="1"/>
    <xf numFmtId="0" fontId="18" fillId="10" borderId="46" xfId="0" applyFont="1" applyFill="1" applyBorder="1" applyAlignment="1">
      <alignment horizontal="center" vertical="center"/>
    </xf>
    <xf numFmtId="0" fontId="18" fillId="12" borderId="46" xfId="0" applyFont="1" applyFill="1" applyBorder="1" applyAlignment="1">
      <alignment horizontal="center" vertical="center"/>
    </xf>
    <xf numFmtId="180" fontId="20" fillId="11" borderId="46" xfId="0" applyNumberFormat="1" applyFont="1" applyFill="1" applyBorder="1" applyAlignment="1">
      <alignment horizontal="center" vertical="center"/>
    </xf>
    <xf numFmtId="180" fontId="20" fillId="13" borderId="46" xfId="0" applyNumberFormat="1" applyFont="1" applyFill="1" applyBorder="1" applyAlignment="1">
      <alignment horizontal="center" vertical="center"/>
    </xf>
    <xf numFmtId="0" fontId="22" fillId="0" borderId="26" xfId="0" applyFont="1" applyAlignment="1"/>
    <xf numFmtId="0" fontId="23" fillId="15" borderId="46" xfId="0" applyFont="1" applyFill="1" applyBorder="1" applyAlignment="1">
      <alignment horizontal="center" vertical="center"/>
    </xf>
    <xf numFmtId="3" fontId="24" fillId="16" borderId="47" xfId="0" applyNumberFormat="1" applyFont="1" applyFill="1" applyBorder="1" applyAlignment="1">
      <alignment horizontal="center" vertical="center"/>
    </xf>
    <xf numFmtId="3" fontId="24" fillId="16" borderId="47" xfId="0" applyNumberFormat="1" applyFont="1" applyFill="1" applyBorder="1" applyAlignment="1">
      <alignment horizontal="right" vertical="center"/>
    </xf>
    <xf numFmtId="0" fontId="24" fillId="17" borderId="46" xfId="0" applyFont="1" applyFill="1" applyBorder="1" applyAlignment="1">
      <alignment horizontal="left" vertical="center"/>
    </xf>
    <xf numFmtId="0" fontId="24" fillId="17" borderId="46" xfId="0" applyFont="1" applyFill="1" applyBorder="1" applyAlignment="1">
      <alignment horizontal="right" vertical="center"/>
    </xf>
    <xf numFmtId="3" fontId="24" fillId="17" borderId="46" xfId="0" applyNumberFormat="1" applyFont="1" applyFill="1" applyBorder="1" applyAlignment="1">
      <alignment horizontal="right" vertical="center"/>
    </xf>
    <xf numFmtId="180" fontId="24" fillId="17" borderId="46" xfId="0" applyNumberFormat="1" applyFont="1" applyFill="1" applyBorder="1" applyAlignment="1">
      <alignment horizontal="right" vertical="center"/>
    </xf>
    <xf numFmtId="0" fontId="24" fillId="16" borderId="46" xfId="0" applyFont="1" applyFill="1" applyBorder="1" applyAlignment="1">
      <alignment horizontal="left" vertical="center"/>
    </xf>
    <xf numFmtId="0" fontId="24" fillId="16" borderId="46" xfId="0" applyFont="1" applyFill="1" applyBorder="1" applyAlignment="1">
      <alignment horizontal="right" vertical="center"/>
    </xf>
    <xf numFmtId="3" fontId="24" fillId="16" borderId="46" xfId="0" applyNumberFormat="1" applyFont="1" applyFill="1" applyBorder="1" applyAlignment="1">
      <alignment horizontal="right" vertical="center"/>
    </xf>
    <xf numFmtId="180" fontId="24" fillId="16" borderId="46" xfId="0" applyNumberFormat="1" applyFont="1" applyFill="1" applyBorder="1" applyAlignment="1">
      <alignment horizontal="right" vertical="center"/>
    </xf>
    <xf numFmtId="0" fontId="24" fillId="16" borderId="47" xfId="0" applyFont="1" applyFill="1" applyBorder="1" applyAlignment="1">
      <alignment horizontal="left" vertical="center"/>
    </xf>
    <xf numFmtId="0" fontId="24" fillId="16" borderId="47" xfId="0" applyFont="1" applyFill="1" applyBorder="1" applyAlignment="1">
      <alignment horizontal="right" vertical="center"/>
    </xf>
    <xf numFmtId="180" fontId="24" fillId="16" borderId="47" xfId="0" applyNumberFormat="1" applyFont="1" applyFill="1" applyBorder="1" applyAlignment="1">
      <alignment horizontal="right" vertical="center"/>
    </xf>
    <xf numFmtId="0" fontId="25" fillId="8" borderId="46" xfId="0" applyFont="1" applyFill="1" applyBorder="1" applyAlignment="1">
      <alignment horizontal="left" vertical="center"/>
    </xf>
    <xf numFmtId="0" fontId="25" fillId="8" borderId="46" xfId="0" applyFont="1" applyFill="1" applyBorder="1" applyAlignment="1">
      <alignment horizontal="right" vertical="center"/>
    </xf>
    <xf numFmtId="3" fontId="25" fillId="8" borderId="46" xfId="0" applyNumberFormat="1" applyFont="1" applyFill="1" applyBorder="1" applyAlignment="1">
      <alignment horizontal="right" vertical="center"/>
    </xf>
    <xf numFmtId="180" fontId="25" fillId="8" borderId="46" xfId="0" applyNumberFormat="1" applyFont="1" applyFill="1" applyBorder="1" applyAlignment="1">
      <alignment horizontal="right" vertical="center"/>
    </xf>
    <xf numFmtId="0" fontId="25" fillId="16" borderId="46" xfId="0" applyFont="1" applyFill="1" applyBorder="1" applyAlignment="1">
      <alignment horizontal="left" vertical="center"/>
    </xf>
    <xf numFmtId="3" fontId="25" fillId="16" borderId="46" xfId="0" applyNumberFormat="1" applyFont="1" applyFill="1" applyBorder="1" applyAlignment="1">
      <alignment horizontal="right" vertical="center"/>
    </xf>
    <xf numFmtId="180" fontId="25" fillId="16" borderId="46" xfId="0" applyNumberFormat="1" applyFont="1" applyFill="1" applyBorder="1" applyAlignment="1">
      <alignment horizontal="right" vertical="center"/>
    </xf>
    <xf numFmtId="0" fontId="26" fillId="18" borderId="47" xfId="0" applyFont="1" applyFill="1" applyBorder="1" applyAlignment="1">
      <alignment horizontal="left" vertical="center"/>
    </xf>
    <xf numFmtId="3" fontId="26" fillId="18" borderId="47" xfId="0" applyNumberFormat="1" applyFont="1" applyFill="1" applyBorder="1" applyAlignment="1">
      <alignment horizontal="right" vertical="center"/>
    </xf>
    <xf numFmtId="180" fontId="26" fillId="18" borderId="47" xfId="0" applyNumberFormat="1" applyFont="1" applyFill="1" applyBorder="1" applyAlignment="1">
      <alignment horizontal="right" vertical="center"/>
    </xf>
    <xf numFmtId="3" fontId="23" fillId="15" borderId="46" xfId="0" applyNumberFormat="1" applyFont="1" applyFill="1" applyBorder="1" applyAlignment="1">
      <alignment horizontal="center" vertical="center"/>
    </xf>
    <xf numFmtId="180" fontId="23" fillId="15" borderId="46" xfId="0" applyNumberFormat="1" applyFont="1" applyFill="1" applyBorder="1" applyAlignment="1">
      <alignment horizontal="center" vertical="center"/>
    </xf>
    <xf numFmtId="0" fontId="25" fillId="0" borderId="46" xfId="0" applyFont="1" applyBorder="1" applyAlignment="1">
      <alignment horizontal="left" vertical="center"/>
    </xf>
    <xf numFmtId="3" fontId="25" fillId="0" borderId="46" xfId="0" applyNumberFormat="1" applyFont="1" applyBorder="1" applyAlignment="1">
      <alignment horizontal="right" vertical="center"/>
    </xf>
    <xf numFmtId="0" fontId="18" fillId="15" borderId="46" xfId="0" applyFont="1" applyFill="1" applyBorder="1" applyAlignment="1">
      <alignment horizontal="center" vertical="center"/>
    </xf>
    <xf numFmtId="3" fontId="12" fillId="3" borderId="9" xfId="0" applyNumberFormat="1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center" wrapText="1"/>
    </xf>
    <xf numFmtId="0" fontId="21" fillId="14" borderId="34" xfId="0" applyFont="1" applyFill="1" applyBorder="1" applyAlignment="1">
      <alignment horizontal="center" vertical="center"/>
    </xf>
    <xf numFmtId="0" fontId="0" fillId="0" borderId="33" xfId="0" applyBorder="1" applyAlignment="1"/>
    <xf numFmtId="0" fontId="0" fillId="0" borderId="34" xfId="0" applyBorder="1" applyAlignment="1"/>
    <xf numFmtId="0" fontId="18" fillId="10" borderId="46" xfId="0" applyFont="1" applyFill="1" applyBorder="1" applyAlignment="1">
      <alignment horizontal="center" vertical="center"/>
    </xf>
    <xf numFmtId="0" fontId="0" fillId="0" borderId="45" xfId="0" applyBorder="1" applyAlignment="1"/>
    <xf numFmtId="0" fontId="18" fillId="12" borderId="46" xfId="0" applyFont="1" applyFill="1" applyBorder="1" applyAlignment="1">
      <alignment horizontal="center" vertical="center"/>
    </xf>
    <xf numFmtId="3" fontId="20" fillId="13" borderId="46" xfId="0" applyNumberFormat="1" applyFont="1" applyFill="1" applyBorder="1" applyAlignment="1">
      <alignment horizontal="center" vertical="center"/>
    </xf>
    <xf numFmtId="3" fontId="20" fillId="11" borderId="46" xfId="0" applyNumberFormat="1" applyFont="1" applyFill="1" applyBorder="1" applyAlignment="1">
      <alignment horizontal="center" vertical="center"/>
    </xf>
    <xf numFmtId="0" fontId="18" fillId="9" borderId="46" xfId="0" applyFont="1" applyFill="1" applyBorder="1" applyAlignment="1">
      <alignment horizontal="center" vertical="center"/>
    </xf>
  </cellXfs>
  <cellStyles count="4">
    <cellStyle name="쉼표 [0]" xfId="3" builtinId="6"/>
    <cellStyle name="쉼표 [0] 118 2 7 16" xfId="2" xr:uid="{00000000-0005-0000-0000-000002000000}"/>
    <cellStyle name="표준" xfId="0" builtinId="0"/>
    <cellStyle name="표준 118 2 7 16" xfId="1" xr:uid="{00000000-0005-0000-0000-000001000000}"/>
  </cellStyles>
  <dxfs count="4"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2E75B6"/>
      <rgbColor rgb="FFBFBFBF"/>
      <rgbColor rgb="FF808080"/>
      <rgbColor rgb="FFDEEAF6"/>
      <rgbColor rgb="FF993366"/>
      <rgbColor rgb="FFFFFFCC"/>
      <rgbColor rgb="FFCAEEFB"/>
      <rgbColor rgb="FF660066"/>
      <rgbColor rgb="FFFF8080"/>
      <rgbColor rgb="FF215E99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3FF"/>
      <rgbColor rgb="FFE2EFDA"/>
      <rgbColor rgb="FFFFF2CC"/>
      <rgbColor rgb="FFD9D9D9"/>
      <rgbColor rgb="FFFCE4D6"/>
      <rgbColor rgb="FFE4DFEC"/>
      <rgbColor rgb="FFFBE3D6"/>
      <rgbColor rgb="FF4472C4"/>
      <rgbColor rgb="FF33CCCC"/>
      <rgbColor rgb="FF99CC00"/>
      <rgbColor rgb="FFFFC000"/>
      <rgbColor rgb="FFBF9000"/>
      <rgbColor rgb="FFC65911"/>
      <rgbColor rgb="FF666699"/>
      <rgbColor rgb="FFA6A6A6"/>
      <rgbColor rgb="FF003366"/>
      <rgbColor rgb="FF548235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"/>
  <sheetViews>
    <sheetView showGridLines="0" workbookViewId="0">
      <selection activeCell="D39" sqref="D39"/>
    </sheetView>
  </sheetViews>
  <sheetFormatPr defaultRowHeight="16.5"/>
  <cols>
    <col min="1" max="2" width="2" style="149" customWidth="1"/>
    <col min="3" max="3" width="14" style="149" customWidth="1"/>
    <col min="4" max="4" width="11" style="149" customWidth="1"/>
    <col min="5" max="16" width="11" style="1" customWidth="1"/>
    <col min="17" max="20" width="10" style="1" customWidth="1"/>
    <col min="21" max="22" width="10" style="149" customWidth="1"/>
    <col min="23" max="25" width="9" style="2" customWidth="1"/>
    <col min="26" max="16384" width="9" style="2"/>
  </cols>
  <sheetData>
    <row r="1" spans="1:23" ht="13.5" customHeight="1">
      <c r="A1" s="150"/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</row>
    <row r="2" spans="1:23" ht="30" customHeight="1">
      <c r="A2" s="150"/>
      <c r="B2" s="169"/>
      <c r="C2" s="217" t="s">
        <v>0</v>
      </c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9"/>
      <c r="U2" s="150"/>
      <c r="V2" s="150"/>
      <c r="W2" s="150"/>
    </row>
    <row r="3" spans="1:23" ht="8.1" customHeight="1" thickBot="1">
      <c r="A3" s="150"/>
      <c r="B3" s="150"/>
      <c r="C3" s="158"/>
      <c r="P3" s="150"/>
      <c r="Q3" s="150"/>
      <c r="R3" s="150"/>
      <c r="S3" s="150"/>
      <c r="T3" s="150"/>
      <c r="U3" s="150"/>
      <c r="V3" s="150"/>
      <c r="W3" s="150"/>
    </row>
    <row r="4" spans="1:23" ht="8.1" customHeight="1">
      <c r="A4" s="150"/>
      <c r="B4" s="159"/>
      <c r="C4" s="160"/>
      <c r="D4" s="161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3"/>
      <c r="Q4" s="163"/>
      <c r="R4" s="163"/>
      <c r="S4" s="163"/>
      <c r="T4" s="164"/>
      <c r="U4" s="150"/>
      <c r="V4" s="150"/>
      <c r="W4" s="150"/>
    </row>
    <row r="5" spans="1:23" ht="8.1" customHeight="1">
      <c r="A5" s="150"/>
      <c r="B5" s="165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66"/>
      <c r="U5" s="150"/>
      <c r="V5" s="150"/>
      <c r="W5" s="150"/>
    </row>
    <row r="6" spans="1:23" ht="21.95" customHeight="1">
      <c r="A6" s="150"/>
      <c r="B6" s="165"/>
      <c r="C6" s="220" t="s">
        <v>1</v>
      </c>
      <c r="D6" s="221"/>
      <c r="E6" s="220" t="s">
        <v>2</v>
      </c>
      <c r="F6" s="221"/>
      <c r="G6" s="220" t="s">
        <v>3</v>
      </c>
      <c r="H6" s="221"/>
      <c r="I6" s="181" t="s">
        <v>4</v>
      </c>
      <c r="J6" s="150"/>
      <c r="K6" s="222" t="s">
        <v>5</v>
      </c>
      <c r="L6" s="221"/>
      <c r="M6" s="225" t="s">
        <v>154</v>
      </c>
      <c r="N6" s="221"/>
      <c r="O6" s="182" t="s">
        <v>7</v>
      </c>
      <c r="P6" s="151"/>
      <c r="Q6" s="151"/>
      <c r="R6" s="150"/>
      <c r="S6" s="151"/>
      <c r="T6" s="167"/>
      <c r="U6" s="151"/>
      <c r="V6" s="150"/>
      <c r="W6" s="150"/>
    </row>
    <row r="7" spans="1:23" ht="26.1" customHeight="1">
      <c r="A7" s="150"/>
      <c r="B7" s="165"/>
      <c r="C7" s="224">
        <v>23000000000</v>
      </c>
      <c r="D7" s="221"/>
      <c r="E7" s="224">
        <f>E32</f>
        <v>465522700</v>
      </c>
      <c r="F7" s="221"/>
      <c r="G7" s="224">
        <f>P17</f>
        <v>73631100</v>
      </c>
      <c r="H7" s="221"/>
      <c r="I7" s="183">
        <f>IF(C7&gt;0, G7/C7, 0)</f>
        <v>3.2013521739130434E-3</v>
      </c>
      <c r="J7" s="150"/>
      <c r="K7" s="223">
        <f>(SUM(컨설팅!P:P)+SUM(S_N솔루션!O:O)+SUM(특허기술자문료!O:O)+SUM(자재판매!AK:AK))/1.1</f>
        <v>430556427.27272725</v>
      </c>
      <c r="L7" s="221"/>
      <c r="M7" s="223">
        <f ca="1">(SUMIF(컨설팅!S:S,"확인요망",컨설팅!P:P)+SUMIF(S_N솔루션!P:P,"확인요망",S_N솔루션!O:O)+SUMIF(특허기술자문료!P:P,"확인요망",특허기술자문료!O:O)+SUMIF(자재판매!AL:AL,"확인요망",자재판매!AK:AK))/1.1</f>
        <v>0</v>
      </c>
      <c r="N7" s="221"/>
      <c r="O7" s="184">
        <f>IF(G7&gt;0, (SUM(컨설팅!O:O)+SUM(S_N솔루션!N:N)+SUM(특허기술자문료!N:N)+SUM(자재판매!AJ:AJ))/1.1/G7, 0)</f>
        <v>1.9543372297846969E-2</v>
      </c>
      <c r="P7" s="157"/>
      <c r="Q7" s="157"/>
      <c r="R7" s="150"/>
      <c r="S7" s="157"/>
      <c r="T7" s="168"/>
      <c r="U7" s="152"/>
      <c r="V7" s="150"/>
      <c r="W7" s="150"/>
    </row>
    <row r="8" spans="1:23" ht="8.1" customHeight="1">
      <c r="A8" s="150"/>
      <c r="B8" s="165"/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66"/>
      <c r="U8" s="150"/>
      <c r="V8" s="150"/>
      <c r="W8" s="150"/>
    </row>
    <row r="9" spans="1:23" ht="8.1" customHeight="1" thickBot="1">
      <c r="A9" s="150"/>
      <c r="B9" s="170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2"/>
      <c r="U9" s="150"/>
      <c r="V9" s="150"/>
      <c r="W9" s="150"/>
    </row>
    <row r="10" spans="1:23" ht="8.1" customHeight="1">
      <c r="A10" s="150"/>
      <c r="B10" s="165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66"/>
      <c r="U10" s="150"/>
      <c r="V10" s="150"/>
      <c r="W10" s="150"/>
    </row>
    <row r="11" spans="1:23" ht="20.100000000000001" customHeight="1">
      <c r="A11" s="150"/>
      <c r="B11" s="165"/>
      <c r="C11" s="185" t="s">
        <v>8</v>
      </c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66"/>
      <c r="U11" s="150"/>
      <c r="V11" s="150"/>
      <c r="W11" s="150"/>
    </row>
    <row r="12" spans="1:23" ht="18" customHeight="1">
      <c r="A12" s="150"/>
      <c r="B12" s="165"/>
      <c r="C12" s="186" t="s">
        <v>9</v>
      </c>
      <c r="D12" s="186" t="s">
        <v>10</v>
      </c>
      <c r="E12" s="186" t="s">
        <v>11</v>
      </c>
      <c r="F12" s="186" t="s">
        <v>12</v>
      </c>
      <c r="G12" s="186" t="s">
        <v>13</v>
      </c>
      <c r="H12" s="186" t="s">
        <v>14</v>
      </c>
      <c r="I12" s="186" t="s">
        <v>15</v>
      </c>
      <c r="J12" s="186" t="s">
        <v>16</v>
      </c>
      <c r="K12" s="186" t="s">
        <v>17</v>
      </c>
      <c r="L12" s="186" t="s">
        <v>18</v>
      </c>
      <c r="M12" s="186" t="s">
        <v>19</v>
      </c>
      <c r="N12" s="186" t="s">
        <v>20</v>
      </c>
      <c r="O12" s="186" t="s">
        <v>21</v>
      </c>
      <c r="P12" s="186" t="s">
        <v>22</v>
      </c>
      <c r="Q12" s="150"/>
      <c r="R12" s="150"/>
      <c r="S12" s="150"/>
      <c r="T12" s="166"/>
      <c r="U12" s="150"/>
      <c r="V12" s="150"/>
      <c r="W12" s="150"/>
    </row>
    <row r="13" spans="1:23" ht="15.95" customHeight="1">
      <c r="A13" s="150"/>
      <c r="B13" s="165"/>
      <c r="C13" s="187" t="s">
        <v>23</v>
      </c>
      <c r="D13" s="188">
        <f>SUMIFS(컨설팅!H:H,컨설팅!J:J,"&gt;="&amp;DATE(2026,1,1),컨설팅!J:J,"&lt;="&amp;EOMONTH(DATE(2026,1,1),0))+SUMIFS(S_N솔루션!H:H,S_N솔루션!J:J,"&gt;="&amp;DATE(2026,1,1),S_N솔루션!J:J,"&lt;="&amp;EOMONTH(DATE(2026,1,1),0))+SUMIFS(특허기술자문료!I:I,특허기술자문료!J:J,"&gt;="&amp;DATE(2026,1,1),특허기술자문료!J:J,"&lt;="&amp;EOMONTH(DATE(2026,1,1),0))</f>
        <v>127795100</v>
      </c>
      <c r="E13" s="188">
        <f>SUMIFS(컨설팅!H:H,컨설팅!J:J,"&gt;="&amp;DATE(2026,2,1),컨설팅!J:J,"&lt;="&amp;EOMONTH(DATE(2026,2,1),0))+SUMIFS(S_N솔루션!H:H,S_N솔루션!J:J,"&gt;="&amp;DATE(2026,2,1),S_N솔루션!J:J,"&lt;="&amp;EOMONTH(DATE(2026,2,1),0))+SUMIFS(특허기술자문료!I:I,특허기술자문료!J:J,"&gt;="&amp;DATE(2026,2,1),특허기술자문료!J:J,"&lt;="&amp;EOMONTH(DATE(2026,2,1),0))</f>
        <v>0</v>
      </c>
      <c r="F13" s="188">
        <f>SUMIFS(컨설팅!H:H,컨설팅!J:J,"&gt;="&amp;DATE(2026,3,1),컨설팅!J:J,"&lt;="&amp;EOMONTH(DATE(2026,3,1),0))+SUMIFS(S_N솔루션!H:H,S_N솔루션!J:J,"&gt;="&amp;DATE(2026,3,1),S_N솔루션!J:J,"&lt;="&amp;EOMONTH(DATE(2026,3,1),0))+SUMIFS(특허기술자문료!I:I,특허기술자문료!J:J,"&gt;="&amp;DATE(2026,3,1),특허기술자문료!J:J,"&lt;="&amp;EOMONTH(DATE(2026,3,1),0))</f>
        <v>0</v>
      </c>
      <c r="G13" s="188">
        <f>SUMIFS(컨설팅!H:H,컨설팅!J:J,"&gt;="&amp;DATE(2026,4,1),컨설팅!J:J,"&lt;="&amp;EOMONTH(DATE(2026,4,1),0))+SUMIFS(S_N솔루션!H:H,S_N솔루션!J:J,"&gt;="&amp;DATE(2026,4,1),S_N솔루션!J:J,"&lt;="&amp;EOMONTH(DATE(2026,4,1),0))+SUMIFS(특허기술자문료!I:I,특허기술자문료!J:J,"&gt;="&amp;DATE(2026,4,1),특허기술자문료!J:J,"&lt;="&amp;EOMONTH(DATE(2026,4,1),0))</f>
        <v>0</v>
      </c>
      <c r="H13" s="188">
        <f>SUMIFS(컨설팅!H:H,컨설팅!J:J,"&gt;="&amp;DATE(2026,5,1),컨설팅!J:J,"&lt;="&amp;EOMONTH(DATE(2026,5,1),0))+SUMIFS(S_N솔루션!H:H,S_N솔루션!J:J,"&gt;="&amp;DATE(2026,5,1),S_N솔루션!J:J,"&lt;="&amp;EOMONTH(DATE(2026,5,1),0))+SUMIFS(특허기술자문료!I:I,특허기술자문료!J:J,"&gt;="&amp;DATE(2026,5,1),특허기술자문료!J:J,"&lt;="&amp;EOMONTH(DATE(2026,5,1),0))</f>
        <v>0</v>
      </c>
      <c r="I13" s="188">
        <f>SUMIFS(컨설팅!H:H,컨설팅!J:J,"&gt;="&amp;DATE(2026,6,1),컨설팅!J:J,"&lt;="&amp;EOMONTH(DATE(2026,6,1),0))+SUMIFS(S_N솔루션!H:H,S_N솔루션!J:J,"&gt;="&amp;DATE(2026,6,1),S_N솔루션!J:J,"&lt;="&amp;EOMONTH(DATE(2026,6,1),0))+SUMIFS(특허기술자문료!I:I,특허기술자문료!J:J,"&gt;="&amp;DATE(2026,6,1),특허기술자문료!J:J,"&lt;="&amp;EOMONTH(DATE(2026,6,1),0))</f>
        <v>0</v>
      </c>
      <c r="J13" s="188">
        <f>SUMIFS(컨설팅!H:H,컨설팅!J:J,"&gt;="&amp;DATE(2026,7,1),컨설팅!J:J,"&lt;="&amp;EOMONTH(DATE(2026,7,1),0))+SUMIFS(S_N솔루션!H:H,S_N솔루션!J:J,"&gt;="&amp;DATE(2026,7,1),S_N솔루션!J:J,"&lt;="&amp;EOMONTH(DATE(2026,7,1),0))+SUMIFS(특허기술자문료!I:I,특허기술자문료!J:J,"&gt;="&amp;DATE(2026,7,1),특허기술자문료!J:J,"&lt;="&amp;EOMONTH(DATE(2026,7,1),0))</f>
        <v>0</v>
      </c>
      <c r="K13" s="188">
        <f>SUMIFS(컨설팅!H:H,컨설팅!J:J,"&gt;="&amp;DATE(2026,8,1),컨설팅!J:J,"&lt;="&amp;EOMONTH(DATE(2026,8,1),0))+SUMIFS(S_N솔루션!H:H,S_N솔루션!J:J,"&gt;="&amp;DATE(2026,8,1),S_N솔루션!J:J,"&lt;="&amp;EOMONTH(DATE(2026,8,1),0))+SUMIFS(특허기술자문료!I:I,특허기술자문료!J:J,"&gt;="&amp;DATE(2026,8,1),특허기술자문료!J:J,"&lt;="&amp;EOMONTH(DATE(2026,8,1),0))</f>
        <v>0</v>
      </c>
      <c r="L13" s="188">
        <f>SUMIFS(컨설팅!H:H,컨설팅!J:J,"&gt;="&amp;DATE(2026,9,1),컨설팅!J:J,"&lt;="&amp;EOMONTH(DATE(2026,9,1),0))+SUMIFS(S_N솔루션!H:H,S_N솔루션!J:J,"&gt;="&amp;DATE(2026,9,1),S_N솔루션!J:J,"&lt;="&amp;EOMONTH(DATE(2026,9,1),0))+SUMIFS(특허기술자문료!I:I,특허기술자문료!J:J,"&gt;="&amp;DATE(2026,9,1),특허기술자문료!J:J,"&lt;="&amp;EOMONTH(DATE(2026,9,1),0))</f>
        <v>0</v>
      </c>
      <c r="M13" s="188">
        <f>SUMIFS(컨설팅!H:H,컨설팅!J:J,"&gt;="&amp;DATE(2026,10,1),컨설팅!J:J,"&lt;="&amp;EOMONTH(DATE(2026,10,1),0))+SUMIFS(S_N솔루션!H:H,S_N솔루션!J:J,"&gt;="&amp;DATE(2026,10,1),S_N솔루션!J:J,"&lt;="&amp;EOMONTH(DATE(2026,10,1),0))+SUMIFS(특허기술자문료!I:I,특허기술자문료!J:J,"&gt;="&amp;DATE(2026,10,1),특허기술자문료!J:J,"&lt;="&amp;EOMONTH(DATE(2026,10,1),0))</f>
        <v>0</v>
      </c>
      <c r="N13" s="188">
        <f>SUMIFS(컨설팅!H:H,컨설팅!J:J,"&gt;="&amp;DATE(2026,11,1),컨설팅!J:J,"&lt;="&amp;EOMONTH(DATE(2026,11,1),0))+SUMIFS(S_N솔루션!H:H,S_N솔루션!J:J,"&gt;="&amp;DATE(2026,11,1),S_N솔루션!J:J,"&lt;="&amp;EOMONTH(DATE(2026,11,1),0))+SUMIFS(특허기술자문료!I:I,특허기술자문료!J:J,"&gt;="&amp;DATE(2026,11,1),특허기술자문료!J:J,"&lt;="&amp;EOMONTH(DATE(2026,11,1),0))</f>
        <v>0</v>
      </c>
      <c r="O13" s="188">
        <f>SUMIFS(컨설팅!H:H,컨설팅!J:J,"&gt;="&amp;DATE(2026,12,1),컨설팅!J:J,"&lt;="&amp;EOMONTH(DATE(2026,12,1),0))+SUMIFS(S_N솔루션!H:H,S_N솔루션!J:J,"&gt;="&amp;DATE(2026,12,1),S_N솔루션!J:J,"&lt;="&amp;EOMONTH(DATE(2026,12,1),0))+SUMIFS(특허기술자문료!I:I,특허기술자문료!J:J,"&gt;="&amp;DATE(2026,12,1),특허기술자문료!J:J,"&lt;="&amp;EOMONTH(DATE(2026,12,1),0))</f>
        <v>0</v>
      </c>
      <c r="P13" s="188">
        <f>SUM(D13:O13)</f>
        <v>127795100</v>
      </c>
      <c r="Q13" s="150"/>
      <c r="R13" s="150"/>
      <c r="S13" s="150"/>
      <c r="T13" s="166"/>
      <c r="U13" s="150"/>
      <c r="V13" s="150"/>
      <c r="W13" s="150"/>
    </row>
    <row r="14" spans="1:23" ht="8.1" customHeight="1">
      <c r="A14" s="150"/>
      <c r="B14" s="165"/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66"/>
      <c r="U14" s="150"/>
      <c r="V14" s="150"/>
      <c r="W14" s="150"/>
    </row>
    <row r="15" spans="1:23" ht="20.100000000000001" customHeight="1">
      <c r="A15" s="150"/>
      <c r="B15" s="165"/>
      <c r="C15" s="185" t="s">
        <v>24</v>
      </c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66"/>
      <c r="U15" s="150"/>
      <c r="V15" s="150"/>
      <c r="W15" s="150"/>
    </row>
    <row r="16" spans="1:23" ht="18" customHeight="1">
      <c r="A16" s="150"/>
      <c r="B16" s="165"/>
      <c r="C16" s="186" t="s">
        <v>25</v>
      </c>
      <c r="D16" s="186" t="s">
        <v>10</v>
      </c>
      <c r="E16" s="186" t="s">
        <v>11</v>
      </c>
      <c r="F16" s="186" t="s">
        <v>12</v>
      </c>
      <c r="G16" s="186" t="s">
        <v>13</v>
      </c>
      <c r="H16" s="186" t="s">
        <v>14</v>
      </c>
      <c r="I16" s="186" t="s">
        <v>15</v>
      </c>
      <c r="J16" s="186" t="s">
        <v>16</v>
      </c>
      <c r="K16" s="186" t="s">
        <v>17</v>
      </c>
      <c r="L16" s="186" t="s">
        <v>18</v>
      </c>
      <c r="M16" s="186" t="s">
        <v>19</v>
      </c>
      <c r="N16" s="186" t="s">
        <v>20</v>
      </c>
      <c r="O16" s="186" t="s">
        <v>21</v>
      </c>
      <c r="P16" s="186" t="s">
        <v>22</v>
      </c>
      <c r="Q16" s="150"/>
      <c r="R16" s="150"/>
      <c r="S16" s="150"/>
      <c r="T16" s="166"/>
      <c r="U16" s="150"/>
      <c r="V16" s="150"/>
      <c r="W16" s="150"/>
    </row>
    <row r="17" spans="1:23" ht="15.95" customHeight="1" thickBot="1">
      <c r="A17" s="150"/>
      <c r="B17" s="165"/>
      <c r="C17" s="187" t="s">
        <v>23</v>
      </c>
      <c r="D17" s="188">
        <f>SUMIFS(컨설팅!H:H,컨설팅!L:L,"&gt;="&amp;DATE(2026,1,1),컨설팅!L:L,"&lt;="&amp;EOMONTH(DATE(2026,1,1),0))+SUMIFS(S_N솔루션!H:H,S_N솔루션!K:K,"&gt;="&amp;DATE(2026,1,1),S_N솔루션!K:K,"&lt;="&amp;EOMONTH(DATE(2026,1,1),0))+SUMIFS(특허기술자문료!I:I,특허기술자문료!K:K,"&gt;="&amp;DATE(2026,1,1),특허기술자문료!K:K,"&lt;="&amp;EOMONTH(DATE(2026,1,1),0))+SUMIFS(자재판매!P:P,자재판매!A:A,"&gt;="&amp;DATE(2026,1,1),자재판매!A:A,"&lt;="&amp;EOMONTH(DATE(2026,1,1),0))+D40+D41+D42</f>
        <v>27517900</v>
      </c>
      <c r="E17" s="188">
        <f>SUMIFS(컨설팅!H:H,컨설팅!L:L,"&gt;="&amp;DATE(2026,2,1),컨설팅!L:L,"&lt;="&amp;EOMONTH(DATE(2026,2,1),0))+SUMIFS(S_N솔루션!H:H,S_N솔루션!K:K,"&gt;="&amp;DATE(2026,2,1),S_N솔루션!K:K,"&lt;="&amp;EOMONTH(DATE(2026,2,1),0))+SUMIFS(특허기술자문료!I:I,특허기술자문료!K:K,"&gt;="&amp;DATE(2026,2,1),특허기술자문료!K:K,"&lt;="&amp;EOMONTH(DATE(2026,2,1),0))+SUMIFS(자재판매!P:P,자재판매!A:A,"&gt;="&amp;DATE(2026,2,1),자재판매!A:A,"&lt;="&amp;EOMONTH(DATE(2026,2,1),0))+E40+E41+E42</f>
        <v>46113200</v>
      </c>
      <c r="F17" s="188">
        <f>SUMIFS(컨설팅!H:H,컨설팅!L:L,"&gt;="&amp;DATE(2026,3,1),컨설팅!L:L,"&lt;="&amp;EOMONTH(DATE(2026,3,1),0))+SUMIFS(S_N솔루션!H:H,S_N솔루션!K:K,"&gt;="&amp;DATE(2026,3,1),S_N솔루션!K:K,"&lt;="&amp;EOMONTH(DATE(2026,3,1),0))+SUMIFS(특허기술자문료!I:I,특허기술자문료!K:K,"&gt;="&amp;DATE(2026,3,1),특허기술자문료!K:K,"&lt;="&amp;EOMONTH(DATE(2026,3,1),0))+SUMIFS(자재판매!P:P,자재판매!A:A,"&gt;="&amp;DATE(2026,3,1),자재판매!A:A,"&lt;="&amp;EOMONTH(DATE(2026,3,1),0))+F40+F41+F42</f>
        <v>0</v>
      </c>
      <c r="G17" s="188">
        <f>SUMIFS(컨설팅!H:H,컨설팅!L:L,"&gt;="&amp;DATE(2026,4,1),컨설팅!L:L,"&lt;="&amp;EOMONTH(DATE(2026,4,1),0))+SUMIFS(S_N솔루션!H:H,S_N솔루션!K:K,"&gt;="&amp;DATE(2026,4,1),S_N솔루션!K:K,"&lt;="&amp;EOMONTH(DATE(2026,4,1),0))+SUMIFS(특허기술자문료!I:I,특허기술자문료!K:K,"&gt;="&amp;DATE(2026,4,1),특허기술자문료!K:K,"&lt;="&amp;EOMONTH(DATE(2026,4,1),0))+SUMIFS(자재판매!P:P,자재판매!A:A,"&gt;="&amp;DATE(2026,4,1),자재판매!A:A,"&lt;="&amp;EOMONTH(DATE(2026,4,1),0))+G40+G41+G42</f>
        <v>0</v>
      </c>
      <c r="H17" s="188">
        <f>SUMIFS(컨설팅!H:H,컨설팅!L:L,"&gt;="&amp;DATE(2026,5,1),컨설팅!L:L,"&lt;="&amp;EOMONTH(DATE(2026,5,1),0))+SUMIFS(S_N솔루션!H:H,S_N솔루션!K:K,"&gt;="&amp;DATE(2026,5,1),S_N솔루션!K:K,"&lt;="&amp;EOMONTH(DATE(2026,5,1),0))+SUMIFS(특허기술자문료!I:I,특허기술자문료!K:K,"&gt;="&amp;DATE(2026,5,1),특허기술자문료!K:K,"&lt;="&amp;EOMONTH(DATE(2026,5,1),0))+SUMIFS(자재판매!P:P,자재판매!A:A,"&gt;="&amp;DATE(2026,5,1),자재판매!A:A,"&lt;="&amp;EOMONTH(DATE(2026,5,1),0))+H40+H41+H42</f>
        <v>0</v>
      </c>
      <c r="I17" s="188">
        <f>SUMIFS(컨설팅!H:H,컨설팅!L:L,"&gt;="&amp;DATE(2026,6,1),컨설팅!L:L,"&lt;="&amp;EOMONTH(DATE(2026,6,1),0))+SUMIFS(S_N솔루션!H:H,S_N솔루션!K:K,"&gt;="&amp;DATE(2026,6,1),S_N솔루션!K:K,"&lt;="&amp;EOMONTH(DATE(2026,6,1),0))+SUMIFS(특허기술자문료!I:I,특허기술자문료!K:K,"&gt;="&amp;DATE(2026,6,1),특허기술자문료!K:K,"&lt;="&amp;EOMONTH(DATE(2026,6,1),0))+SUMIFS(자재판매!P:P,자재판매!A:A,"&gt;="&amp;DATE(2026,6,1),자재판매!A:A,"&lt;="&amp;EOMONTH(DATE(2026,6,1),0))+I40+I41+I42</f>
        <v>0</v>
      </c>
      <c r="J17" s="188">
        <f>SUMIFS(컨설팅!H:H,컨설팅!L:L,"&gt;="&amp;DATE(2026,7,1),컨설팅!L:L,"&lt;="&amp;EOMONTH(DATE(2026,7,1),0))+SUMIFS(S_N솔루션!H:H,S_N솔루션!K:K,"&gt;="&amp;DATE(2026,7,1),S_N솔루션!K:K,"&lt;="&amp;EOMONTH(DATE(2026,7,1),0))+SUMIFS(특허기술자문료!I:I,특허기술자문료!K:K,"&gt;="&amp;DATE(2026,7,1),특허기술자문료!K:K,"&lt;="&amp;EOMONTH(DATE(2026,7,1),0))+SUMIFS(자재판매!P:P,자재판매!A:A,"&gt;="&amp;DATE(2026,7,1),자재판매!A:A,"&lt;="&amp;EOMONTH(DATE(2026,7,1),0))+J40+J41+J42</f>
        <v>0</v>
      </c>
      <c r="K17" s="188">
        <f>SUMIFS(컨설팅!H:H,컨설팅!L:L,"&gt;="&amp;DATE(2026,8,1),컨설팅!L:L,"&lt;="&amp;EOMONTH(DATE(2026,8,1),0))+SUMIFS(S_N솔루션!H:H,S_N솔루션!K:K,"&gt;="&amp;DATE(2026,8,1),S_N솔루션!K:K,"&lt;="&amp;EOMONTH(DATE(2026,8,1),0))+SUMIFS(특허기술자문료!I:I,특허기술자문료!K:K,"&gt;="&amp;DATE(2026,8,1),특허기술자문료!K:K,"&lt;="&amp;EOMONTH(DATE(2026,8,1),0))+SUMIFS(자재판매!P:P,자재판매!A:A,"&gt;="&amp;DATE(2026,8,1),자재판매!A:A,"&lt;="&amp;EOMONTH(DATE(2026,8,1),0))+K40+K41+K42</f>
        <v>0</v>
      </c>
      <c r="L17" s="188">
        <f>SUMIFS(컨설팅!H:H,컨설팅!L:L,"&gt;="&amp;DATE(2026,9,1),컨설팅!L:L,"&lt;="&amp;EOMONTH(DATE(2026,9,1),0))+SUMIFS(S_N솔루션!H:H,S_N솔루션!K:K,"&gt;="&amp;DATE(2026,9,1),S_N솔루션!K:K,"&lt;="&amp;EOMONTH(DATE(2026,9,1),0))+SUMIFS(특허기술자문료!I:I,특허기술자문료!K:K,"&gt;="&amp;DATE(2026,9,1),특허기술자문료!K:K,"&lt;="&amp;EOMONTH(DATE(2026,9,1),0))+SUMIFS(자재판매!P:P,자재판매!A:A,"&gt;="&amp;DATE(2026,9,1),자재판매!A:A,"&lt;="&amp;EOMONTH(DATE(2026,9,1),0))+L40+L41+L42</f>
        <v>0</v>
      </c>
      <c r="M17" s="188">
        <f>SUMIFS(컨설팅!H:H,컨설팅!L:L,"&gt;="&amp;DATE(2026,10,1),컨설팅!L:L,"&lt;="&amp;EOMONTH(DATE(2026,10,1),0))+SUMIFS(S_N솔루션!H:H,S_N솔루션!K:K,"&gt;="&amp;DATE(2026,10,1),S_N솔루션!K:K,"&lt;="&amp;EOMONTH(DATE(2026,10,1),0))+SUMIFS(특허기술자문료!I:I,특허기술자문료!K:K,"&gt;="&amp;DATE(2026,10,1),특허기술자문료!K:K,"&lt;="&amp;EOMONTH(DATE(2026,10,1),0))+SUMIFS(자재판매!P:P,자재판매!A:A,"&gt;="&amp;DATE(2026,10,1),자재판매!A:A,"&lt;="&amp;EOMONTH(DATE(2026,10,1),0))+M40+M41+M42</f>
        <v>0</v>
      </c>
      <c r="N17" s="188">
        <f>SUMIFS(컨설팅!H:H,컨설팅!L:L,"&gt;="&amp;DATE(2026,11,1),컨설팅!L:L,"&lt;="&amp;EOMONTH(DATE(2026,11,1),0))+SUMIFS(S_N솔루션!H:H,S_N솔루션!K:K,"&gt;="&amp;DATE(2026,11,1),S_N솔루션!K:K,"&lt;="&amp;EOMONTH(DATE(2026,11,1),0))+SUMIFS(특허기술자문료!I:I,특허기술자문료!K:K,"&gt;="&amp;DATE(2026,11,1),특허기술자문료!K:K,"&lt;="&amp;EOMONTH(DATE(2026,11,1),0))+SUMIFS(자재판매!P:P,자재판매!A:A,"&gt;="&amp;DATE(2026,11,1),자재판매!A:A,"&lt;="&amp;EOMONTH(DATE(2026,11,1),0))+N40+N41+N42</f>
        <v>0</v>
      </c>
      <c r="O17" s="188">
        <f>SUMIFS(컨설팅!H:H,컨설팅!L:L,"&gt;="&amp;DATE(2026,12,1),컨설팅!L:L,"&lt;="&amp;EOMONTH(DATE(2026,12,1),0))+SUMIFS(S_N솔루션!H:H,S_N솔루션!K:K,"&gt;="&amp;DATE(2026,12,1),S_N솔루션!K:K,"&lt;="&amp;EOMONTH(DATE(2026,12,1),0))+SUMIFS(특허기술자문료!I:I,특허기술자문료!K:K,"&gt;="&amp;DATE(2026,12,1),특허기술자문료!K:K,"&lt;="&amp;EOMONTH(DATE(2026,12,1),0))+SUMIFS(자재판매!P:P,자재판매!A:A,"&gt;="&amp;DATE(2026,12,1),자재판매!A:A,"&lt;="&amp;EOMONTH(DATE(2026,12,1),0))+O40+O41+O42</f>
        <v>0</v>
      </c>
      <c r="P17" s="188">
        <f>SUM(D17:O17)</f>
        <v>73631100</v>
      </c>
      <c r="Q17" s="150"/>
      <c r="R17" s="150"/>
      <c r="S17" s="150"/>
      <c r="T17" s="166"/>
      <c r="U17" s="150"/>
      <c r="V17" s="150"/>
      <c r="W17" s="150"/>
    </row>
    <row r="18" spans="1:23" ht="8.1" customHeight="1">
      <c r="A18" s="150"/>
      <c r="B18" s="165"/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66"/>
      <c r="U18" s="150"/>
      <c r="V18" s="150"/>
      <c r="W18" s="150"/>
    </row>
    <row r="19" spans="1:23" ht="8.1" customHeight="1" thickBot="1">
      <c r="A19" s="150"/>
      <c r="B19" s="165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66"/>
      <c r="U19" s="150"/>
      <c r="V19" s="150"/>
      <c r="W19" s="150"/>
    </row>
    <row r="20" spans="1:23" ht="8.1" customHeight="1">
      <c r="A20" s="150"/>
      <c r="B20" s="173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5"/>
      <c r="U20" s="150"/>
      <c r="V20" s="150"/>
      <c r="W20" s="150"/>
    </row>
    <row r="21" spans="1:23" ht="8.1" customHeight="1">
      <c r="A21" s="150"/>
      <c r="B21" s="176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77"/>
      <c r="U21" s="150"/>
      <c r="V21" s="150"/>
      <c r="W21" s="150"/>
    </row>
    <row r="22" spans="1:23" ht="8.1" customHeight="1">
      <c r="A22" s="150"/>
      <c r="B22" s="176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77"/>
      <c r="U22" s="150"/>
      <c r="V22" s="150"/>
      <c r="W22" s="150"/>
    </row>
    <row r="23" spans="1:23" ht="20.100000000000001" customHeight="1">
      <c r="A23" s="150"/>
      <c r="B23" s="176"/>
      <c r="C23" s="185" t="s">
        <v>26</v>
      </c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77"/>
      <c r="U23" s="150"/>
      <c r="V23" s="150"/>
      <c r="W23" s="150"/>
    </row>
    <row r="24" spans="1:23" ht="18" customHeight="1">
      <c r="A24" s="150"/>
      <c r="B24" s="176"/>
      <c r="C24" s="186" t="s">
        <v>27</v>
      </c>
      <c r="D24" s="186" t="s">
        <v>28</v>
      </c>
      <c r="E24" s="186" t="s">
        <v>2</v>
      </c>
      <c r="F24" s="186" t="s">
        <v>3</v>
      </c>
      <c r="G24" s="214" t="s">
        <v>5</v>
      </c>
      <c r="H24" s="214" t="s">
        <v>6</v>
      </c>
      <c r="I24" s="186" t="s">
        <v>7</v>
      </c>
      <c r="J24" s="151"/>
      <c r="K24" s="150"/>
      <c r="L24" s="150"/>
      <c r="M24" s="150"/>
      <c r="N24" s="150"/>
      <c r="O24" s="150"/>
      <c r="P24" s="150"/>
      <c r="Q24" s="150"/>
      <c r="R24" s="150"/>
      <c r="S24" s="150"/>
      <c r="T24" s="177"/>
      <c r="U24" s="150"/>
      <c r="V24" s="150"/>
      <c r="W24" s="150"/>
    </row>
    <row r="25" spans="1:23" ht="15.95" customHeight="1">
      <c r="A25" s="150"/>
      <c r="B25" s="176"/>
      <c r="C25" s="189" t="s">
        <v>29</v>
      </c>
      <c r="D25" s="190">
        <f>MAX(컨설팅!B:B)</f>
        <v>9</v>
      </c>
      <c r="E25" s="191">
        <f>SUMIF(컨설팅!J:J,"&lt;&gt;",컨설팅!G:G)</f>
        <v>408409500</v>
      </c>
      <c r="F25" s="191">
        <f>SUMIF(컨설팅!L:L,"&lt;&gt;",컨설팅!H:H)</f>
        <v>16517900</v>
      </c>
      <c r="G25" s="191">
        <f>SUM(컨설팅!P:P)/1.1</f>
        <v>408409499.99999994</v>
      </c>
      <c r="H25" s="191">
        <f ca="1">SUMIF(컨설팅!S:S,"확인요망",컨설팅!P:P)/1.1</f>
        <v>0</v>
      </c>
      <c r="I25" s="192">
        <f>IF(F25&gt;0, SUM(컨설팅!O:O)/1.1/F25, 0)</f>
        <v>0</v>
      </c>
      <c r="J25" s="154"/>
      <c r="K25" s="150"/>
      <c r="L25" s="150"/>
      <c r="M25" s="150"/>
      <c r="N25" s="150"/>
      <c r="O25" s="150"/>
      <c r="P25" s="150"/>
      <c r="Q25" s="150"/>
      <c r="R25" s="150"/>
      <c r="S25" s="150"/>
      <c r="T25" s="177"/>
      <c r="U25" s="150"/>
      <c r="V25" s="150"/>
      <c r="W25" s="150"/>
    </row>
    <row r="26" spans="1:23" ht="15.95" customHeight="1">
      <c r="A26" s="150"/>
      <c r="B26" s="176"/>
      <c r="C26" s="193" t="s">
        <v>30</v>
      </c>
      <c r="D26" s="194">
        <f>MAX(S_N솔루션!B:B)</f>
        <v>2</v>
      </c>
      <c r="E26" s="195">
        <f>SUMIF(S_N솔루션!J:J,"&lt;&gt;",S_N솔루션!G:G)</f>
        <v>41300000</v>
      </c>
      <c r="F26" s="195">
        <f>SUMIF(S_N솔루션!K:K,"&lt;&gt;",S_N솔루션!H:H)</f>
        <v>41300000</v>
      </c>
      <c r="G26" s="195">
        <f>SUM(S_N솔루션!O:O)/1.1</f>
        <v>18772727.27272727</v>
      </c>
      <c r="H26" s="195">
        <f ca="1">SUMIF(S_N솔루션!P:P,"확인요망",S_N솔루션!O:O)/1.1</f>
        <v>0</v>
      </c>
      <c r="I26" s="196">
        <f>IF(F26&gt;0, SUM(S_N솔루션!N:N)/1.1/F26, 0)</f>
        <v>0</v>
      </c>
      <c r="J26" s="154"/>
      <c r="K26" s="150"/>
      <c r="L26" s="150"/>
      <c r="M26" s="150"/>
      <c r="N26" s="150"/>
      <c r="O26" s="150"/>
      <c r="P26" s="150"/>
      <c r="Q26" s="150"/>
      <c r="R26" s="150"/>
      <c r="S26" s="150"/>
      <c r="T26" s="177"/>
      <c r="U26" s="150"/>
      <c r="V26" s="150"/>
      <c r="W26" s="150"/>
    </row>
    <row r="27" spans="1:23" ht="15.95" customHeight="1">
      <c r="A27" s="150"/>
      <c r="B27" s="176"/>
      <c r="C27" s="189" t="s">
        <v>31</v>
      </c>
      <c r="D27" s="190">
        <f>MAX(특허기술자문료!B:B)</f>
        <v>4</v>
      </c>
      <c r="E27" s="191">
        <f>SUMIF(특허기술자문료!J:J,"&lt;&gt;",특허기술자문료!I:I)</f>
        <v>4813200</v>
      </c>
      <c r="F27" s="191">
        <f>SUMIF(특허기술자문료!K:K,"&lt;&gt;",특허기술자문료!I:I)</f>
        <v>4813200</v>
      </c>
      <c r="G27" s="191">
        <f>SUM(특허기술자문료!O:O)/1.1</f>
        <v>3374199.9999999995</v>
      </c>
      <c r="H27" s="191">
        <f ca="1">SUMIF(특허기술자문료!P:P,"확인요망",특허기술자문료!O:O)/1.1</f>
        <v>0</v>
      </c>
      <c r="I27" s="192">
        <f>IF(F27&gt;0, SUM(특허기술자문료!N:N)/1.1/F27, 0)</f>
        <v>0.29896950054018118</v>
      </c>
      <c r="J27" s="154"/>
      <c r="K27" s="150"/>
      <c r="L27" s="150"/>
      <c r="M27" s="150"/>
      <c r="N27" s="150"/>
      <c r="O27" s="150"/>
      <c r="P27" s="150"/>
      <c r="Q27" s="150"/>
      <c r="R27" s="150"/>
      <c r="S27" s="150"/>
      <c r="T27" s="177"/>
      <c r="U27" s="150"/>
      <c r="V27" s="150"/>
      <c r="W27" s="150"/>
    </row>
    <row r="28" spans="1:23" ht="15.95" customHeight="1" thickBot="1">
      <c r="A28" s="150"/>
      <c r="B28" s="176"/>
      <c r="C28" s="197" t="s">
        <v>32</v>
      </c>
      <c r="D28" s="198">
        <f>COUNTA(자재판매!A:A)-1</f>
        <v>1</v>
      </c>
      <c r="E28" s="188">
        <f>SUMIF(자재판매!A:A,"&lt;&gt;",자재판매!P:P)</f>
        <v>11000000</v>
      </c>
      <c r="F28" s="188">
        <f>SUM(자재판매!P:P)</f>
        <v>11000000</v>
      </c>
      <c r="G28" s="188">
        <f>SUM(자재판매!AK:AK)/1.1</f>
        <v>0</v>
      </c>
      <c r="H28" s="188">
        <f ca="1">SUMIF(자재판매!AL:AL,"확인요망",자재판매!AK:AK)/1.1</f>
        <v>0</v>
      </c>
      <c r="I28" s="199">
        <f>IF(F28&gt;0, SUM(자재판매!AJ:AJ)/1.1/F28, 0)</f>
        <v>0</v>
      </c>
      <c r="J28" s="154"/>
      <c r="K28" s="150"/>
      <c r="L28" s="150"/>
      <c r="M28" s="150"/>
      <c r="N28" s="150"/>
      <c r="O28" s="150"/>
      <c r="P28" s="150"/>
      <c r="Q28" s="150"/>
      <c r="R28" s="150"/>
      <c r="S28" s="150"/>
      <c r="T28" s="177"/>
      <c r="U28" s="150"/>
      <c r="V28" s="150"/>
      <c r="W28" s="150"/>
    </row>
    <row r="29" spans="1:23" ht="15.95" customHeight="1">
      <c r="A29" s="150"/>
      <c r="B29" s="176"/>
      <c r="C29" s="200" t="s">
        <v>33</v>
      </c>
      <c r="D29" s="201" t="s">
        <v>34</v>
      </c>
      <c r="E29" s="202" t="s">
        <v>34</v>
      </c>
      <c r="F29" s="202">
        <f>P40</f>
        <v>0</v>
      </c>
      <c r="G29" s="202" t="s">
        <v>34</v>
      </c>
      <c r="H29" s="202" t="s">
        <v>34</v>
      </c>
      <c r="I29" s="203" t="s">
        <v>34</v>
      </c>
      <c r="J29" s="155"/>
      <c r="K29" s="150"/>
      <c r="L29" s="150"/>
      <c r="M29" s="150"/>
      <c r="N29" s="150"/>
      <c r="O29" s="150"/>
      <c r="P29" s="150"/>
      <c r="Q29" s="150"/>
      <c r="R29" s="150"/>
      <c r="S29" s="150"/>
      <c r="T29" s="177"/>
      <c r="U29" s="150"/>
      <c r="V29" s="150"/>
      <c r="W29" s="150"/>
    </row>
    <row r="30" spans="1:23" ht="15.95" customHeight="1">
      <c r="A30" s="150"/>
      <c r="B30" s="176"/>
      <c r="C30" s="204" t="s">
        <v>35</v>
      </c>
      <c r="D30" s="205" t="s">
        <v>34</v>
      </c>
      <c r="E30" s="205" t="s">
        <v>34</v>
      </c>
      <c r="F30" s="205">
        <f>P41</f>
        <v>0</v>
      </c>
      <c r="G30" s="205" t="s">
        <v>34</v>
      </c>
      <c r="H30" s="205" t="s">
        <v>34</v>
      </c>
      <c r="I30" s="206" t="s">
        <v>34</v>
      </c>
      <c r="J30" s="154"/>
      <c r="K30" s="150"/>
      <c r="L30" s="150"/>
      <c r="M30" s="150"/>
      <c r="N30" s="150"/>
      <c r="O30" s="150"/>
      <c r="P30" s="150"/>
      <c r="Q30" s="150"/>
      <c r="R30" s="150"/>
      <c r="S30" s="150"/>
      <c r="T30" s="177"/>
      <c r="U30" s="150"/>
      <c r="V30" s="150"/>
      <c r="W30" s="150"/>
    </row>
    <row r="31" spans="1:23" ht="15.95" customHeight="1">
      <c r="A31" s="150"/>
      <c r="B31" s="176"/>
      <c r="C31" s="200" t="s">
        <v>36</v>
      </c>
      <c r="D31" s="202" t="s">
        <v>34</v>
      </c>
      <c r="E31" s="202" t="s">
        <v>34</v>
      </c>
      <c r="F31" s="202">
        <f>P42</f>
        <v>0</v>
      </c>
      <c r="G31" s="202" t="s">
        <v>34</v>
      </c>
      <c r="H31" s="202" t="s">
        <v>34</v>
      </c>
      <c r="I31" s="203" t="s">
        <v>34</v>
      </c>
      <c r="J31" s="154"/>
      <c r="K31" s="150"/>
      <c r="L31" s="150"/>
      <c r="M31" s="150"/>
      <c r="N31" s="150"/>
      <c r="O31" s="150"/>
      <c r="P31" s="150"/>
      <c r="Q31" s="150"/>
      <c r="R31" s="150"/>
      <c r="S31" s="150"/>
      <c r="T31" s="177"/>
      <c r="U31" s="150"/>
      <c r="V31" s="150"/>
      <c r="W31" s="150"/>
    </row>
    <row r="32" spans="1:23" ht="15.95" customHeight="1" thickBot="1">
      <c r="A32" s="150"/>
      <c r="B32" s="176"/>
      <c r="C32" s="207" t="s">
        <v>22</v>
      </c>
      <c r="D32" s="208">
        <f>SUM(D25:D28)</f>
        <v>16</v>
      </c>
      <c r="E32" s="208">
        <f>SUM(E25:E31)</f>
        <v>465522700</v>
      </c>
      <c r="F32" s="208">
        <f t="shared" ref="F32:H32" si="0">SUM(F25:F31)</f>
        <v>73631100</v>
      </c>
      <c r="G32" s="208">
        <f t="shared" si="0"/>
        <v>430556427.27272719</v>
      </c>
      <c r="H32" s="208">
        <f t="shared" ca="1" si="0"/>
        <v>0</v>
      </c>
      <c r="I32" s="209">
        <f>IF(F32&gt;0, (SUM(컨설팅!O:O)+SUM(S_N솔루션!N:N)+SUM(특허기술자문료!N:N)+SUM(자재판매!AJ:AJ))/1.1/F32, 0)</f>
        <v>1.9543372297846969E-2</v>
      </c>
      <c r="J32" s="154"/>
      <c r="K32" s="150"/>
      <c r="L32" s="150"/>
      <c r="M32" s="150"/>
      <c r="N32" s="150"/>
      <c r="O32" s="150"/>
      <c r="P32" s="150"/>
      <c r="Q32" s="150"/>
      <c r="R32" s="150"/>
      <c r="S32" s="150"/>
      <c r="T32" s="177"/>
      <c r="U32" s="150"/>
      <c r="V32" s="150"/>
      <c r="W32" s="150"/>
    </row>
    <row r="33" spans="1:23" ht="8.1" customHeight="1">
      <c r="A33" s="150"/>
      <c r="B33" s="176"/>
      <c r="C33" s="151"/>
      <c r="D33" s="153"/>
      <c r="E33" s="153"/>
      <c r="F33" s="153"/>
      <c r="G33" s="153"/>
      <c r="H33" s="153"/>
      <c r="I33" s="153"/>
      <c r="J33" s="154"/>
      <c r="K33" s="150"/>
      <c r="L33" s="150"/>
      <c r="M33" s="150"/>
      <c r="N33" s="150"/>
      <c r="O33" s="150"/>
      <c r="P33" s="150"/>
      <c r="Q33" s="150"/>
      <c r="R33" s="150"/>
      <c r="S33" s="150"/>
      <c r="T33" s="177"/>
      <c r="U33" s="150"/>
      <c r="V33" s="150"/>
      <c r="W33" s="150"/>
    </row>
    <row r="34" spans="1:23" ht="20.100000000000001" customHeight="1">
      <c r="A34" s="150"/>
      <c r="B34" s="176"/>
      <c r="C34" s="185" t="s">
        <v>37</v>
      </c>
      <c r="D34" s="153"/>
      <c r="E34" s="153"/>
      <c r="F34" s="153"/>
      <c r="G34" s="153"/>
      <c r="H34" s="153"/>
      <c r="I34" s="155"/>
      <c r="J34" s="154"/>
      <c r="K34" s="150"/>
      <c r="L34" s="150"/>
      <c r="M34" s="150"/>
      <c r="N34" s="150"/>
      <c r="O34" s="150"/>
      <c r="P34" s="150"/>
      <c r="Q34" s="150"/>
      <c r="R34" s="150"/>
      <c r="S34" s="150"/>
      <c r="T34" s="177"/>
      <c r="U34" s="150"/>
      <c r="V34" s="150"/>
      <c r="W34" s="150"/>
    </row>
    <row r="35" spans="1:23" ht="18" customHeight="1">
      <c r="A35" s="150"/>
      <c r="B35" s="176"/>
      <c r="C35" s="186" t="s">
        <v>27</v>
      </c>
      <c r="D35" s="210" t="s">
        <v>10</v>
      </c>
      <c r="E35" s="210" t="s">
        <v>11</v>
      </c>
      <c r="F35" s="210" t="s">
        <v>12</v>
      </c>
      <c r="G35" s="210" t="s">
        <v>13</v>
      </c>
      <c r="H35" s="210" t="s">
        <v>14</v>
      </c>
      <c r="I35" s="186" t="s">
        <v>15</v>
      </c>
      <c r="J35" s="211" t="s">
        <v>16</v>
      </c>
      <c r="K35" s="186" t="s">
        <v>17</v>
      </c>
      <c r="L35" s="186" t="s">
        <v>18</v>
      </c>
      <c r="M35" s="186" t="s">
        <v>19</v>
      </c>
      <c r="N35" s="186" t="s">
        <v>20</v>
      </c>
      <c r="O35" s="186" t="s">
        <v>21</v>
      </c>
      <c r="P35" s="186" t="s">
        <v>22</v>
      </c>
      <c r="Q35" s="150"/>
      <c r="R35" s="150"/>
      <c r="S35" s="150"/>
      <c r="T35" s="177"/>
      <c r="U35" s="150"/>
      <c r="V35" s="150"/>
      <c r="W35" s="150"/>
    </row>
    <row r="36" spans="1:23" ht="15.95" customHeight="1">
      <c r="A36" s="150"/>
      <c r="B36" s="176"/>
      <c r="C36" s="189" t="s">
        <v>29</v>
      </c>
      <c r="D36" s="191">
        <f>SUMIFS(컨설팅!H:H,컨설팅!L:L,"&gt;="&amp;DATE(2026,1,1),컨설팅!L:L,"&lt;="&amp;EOMONTH(DATE(2026,1,1),0))</f>
        <v>16517900</v>
      </c>
      <c r="E36" s="191">
        <f>SUMIFS(컨설팅!H:H,컨설팅!L:L,"&gt;="&amp;DATE(2026,2,1),컨설팅!L:L,"&lt;="&amp;EOMONTH(DATE(2026,2,1),0))</f>
        <v>0</v>
      </c>
      <c r="F36" s="191">
        <f>SUMIFS(컨설팅!H:H,컨설팅!L:L,"&gt;="&amp;DATE(2026,3,1),컨설팅!L:L,"&lt;="&amp;EOMONTH(DATE(2026,3,1),0))</f>
        <v>0</v>
      </c>
      <c r="G36" s="191">
        <f>SUMIFS(컨설팅!H:H,컨설팅!L:L,"&gt;="&amp;DATE(2026,4,1),컨설팅!L:L,"&lt;="&amp;EOMONTH(DATE(2026,4,1),0))</f>
        <v>0</v>
      </c>
      <c r="H36" s="191">
        <f>SUMIFS(컨설팅!H:H,컨설팅!L:L,"&gt;="&amp;DATE(2026,5,1),컨설팅!L:L,"&lt;="&amp;EOMONTH(DATE(2026,5,1),0))</f>
        <v>0</v>
      </c>
      <c r="I36" s="191">
        <f>SUMIFS(컨설팅!H:H,컨설팅!L:L,"&gt;="&amp;DATE(2026,6,1),컨설팅!L:L,"&lt;="&amp;EOMONTH(DATE(2026,6,1),0))</f>
        <v>0</v>
      </c>
      <c r="J36" s="191">
        <f>SUMIFS(컨설팅!H:H,컨설팅!L:L,"&gt;="&amp;DATE(2026,7,1),컨설팅!L:L,"&lt;="&amp;EOMONTH(DATE(2026,7,1),0))</f>
        <v>0</v>
      </c>
      <c r="K36" s="191">
        <f>SUMIFS(컨설팅!H:H,컨설팅!L:L,"&gt;="&amp;DATE(2026,8,1),컨설팅!L:L,"&lt;="&amp;EOMONTH(DATE(2026,8,1),0))</f>
        <v>0</v>
      </c>
      <c r="L36" s="191">
        <f>SUMIFS(컨설팅!H:H,컨설팅!L:L,"&gt;="&amp;DATE(2026,9,1),컨설팅!L:L,"&lt;="&amp;EOMONTH(DATE(2026,9,1),0))</f>
        <v>0</v>
      </c>
      <c r="M36" s="191">
        <f>SUMIFS(컨설팅!H:H,컨설팅!L:L,"&gt;="&amp;DATE(2026,10,1),컨설팅!L:L,"&lt;="&amp;EOMONTH(DATE(2026,10,1),0))</f>
        <v>0</v>
      </c>
      <c r="N36" s="191">
        <f>SUMIFS(컨설팅!H:H,컨설팅!L:L,"&gt;="&amp;DATE(2026,11,1),컨설팅!L:L,"&lt;="&amp;EOMONTH(DATE(2026,11,1),0))</f>
        <v>0</v>
      </c>
      <c r="O36" s="191">
        <f>SUMIFS(컨설팅!H:H,컨설팅!L:L,"&gt;="&amp;DATE(2026,12,1),컨설팅!L:L,"&lt;="&amp;EOMONTH(DATE(2026,12,1),0))</f>
        <v>0</v>
      </c>
      <c r="P36" s="191">
        <f t="shared" ref="P36:P42" si="1">SUM(D36:O36)</f>
        <v>16517900</v>
      </c>
      <c r="Q36" s="150"/>
      <c r="R36" s="150"/>
      <c r="S36" s="150"/>
      <c r="T36" s="177"/>
      <c r="U36" s="150"/>
      <c r="V36" s="150"/>
      <c r="W36" s="150"/>
    </row>
    <row r="37" spans="1:23" ht="15.95" customHeight="1">
      <c r="A37" s="150"/>
      <c r="B37" s="176"/>
      <c r="C37" s="193" t="s">
        <v>30</v>
      </c>
      <c r="D37" s="195">
        <f>SUMIFS(S_N솔루션!H:H,S_N솔루션!K:K,"&gt;="&amp;DATE(2026,1,1),S_N솔루션!K:K,"&lt;="&amp;EOMONTH(DATE(2026,1,1),0))</f>
        <v>0</v>
      </c>
      <c r="E37" s="195">
        <f>SUMIFS(S_N솔루션!H:H,S_N솔루션!K:K,"&gt;="&amp;DATE(2026,2,1),S_N솔루션!K:K,"&lt;="&amp;EOMONTH(DATE(2026,2,1),0))</f>
        <v>41300000</v>
      </c>
      <c r="F37" s="195">
        <f>SUMIFS(S_N솔루션!H:H,S_N솔루션!K:K,"&gt;="&amp;DATE(2026,3,1),S_N솔루션!K:K,"&lt;="&amp;EOMONTH(DATE(2026,3,1),0))</f>
        <v>0</v>
      </c>
      <c r="G37" s="195">
        <f>SUMIFS(S_N솔루션!H:H,S_N솔루션!K:K,"&gt;="&amp;DATE(2026,4,1),S_N솔루션!K:K,"&lt;="&amp;EOMONTH(DATE(2026,4,1),0))</f>
        <v>0</v>
      </c>
      <c r="H37" s="195">
        <f>SUMIFS(S_N솔루션!H:H,S_N솔루션!K:K,"&gt;="&amp;DATE(2026,5,1),S_N솔루션!K:K,"&lt;="&amp;EOMONTH(DATE(2026,5,1),0))</f>
        <v>0</v>
      </c>
      <c r="I37" s="195">
        <f>SUMIFS(S_N솔루션!H:H,S_N솔루션!K:K,"&gt;="&amp;DATE(2026,6,1),S_N솔루션!K:K,"&lt;="&amp;EOMONTH(DATE(2026,6,1),0))</f>
        <v>0</v>
      </c>
      <c r="J37" s="195">
        <f>SUMIFS(S_N솔루션!H:H,S_N솔루션!K:K,"&gt;="&amp;DATE(2026,7,1),S_N솔루션!K:K,"&lt;="&amp;EOMONTH(DATE(2026,7,1),0))</f>
        <v>0</v>
      </c>
      <c r="K37" s="195">
        <f>SUMIFS(S_N솔루션!H:H,S_N솔루션!K:K,"&gt;="&amp;DATE(2026,8,1),S_N솔루션!K:K,"&lt;="&amp;EOMONTH(DATE(2026,8,1),0))</f>
        <v>0</v>
      </c>
      <c r="L37" s="195">
        <f>SUMIFS(S_N솔루션!H:H,S_N솔루션!K:K,"&gt;="&amp;DATE(2026,9,1),S_N솔루션!K:K,"&lt;="&amp;EOMONTH(DATE(2026,9,1),0))</f>
        <v>0</v>
      </c>
      <c r="M37" s="195">
        <f>SUMIFS(S_N솔루션!H:H,S_N솔루션!K:K,"&gt;="&amp;DATE(2026,10,1),S_N솔루션!K:K,"&lt;="&amp;EOMONTH(DATE(2026,10,1),0))</f>
        <v>0</v>
      </c>
      <c r="N37" s="195">
        <f>SUMIFS(S_N솔루션!H:H,S_N솔루션!K:K,"&gt;="&amp;DATE(2026,11,1),S_N솔루션!K:K,"&lt;="&amp;EOMONTH(DATE(2026,11,1),0))</f>
        <v>0</v>
      </c>
      <c r="O37" s="195">
        <f>SUMIFS(S_N솔루션!H:H,S_N솔루션!K:K,"&gt;="&amp;DATE(2026,12,1),S_N솔루션!K:K,"&lt;="&amp;EOMONTH(DATE(2026,12,1),0))</f>
        <v>0</v>
      </c>
      <c r="P37" s="195">
        <f t="shared" si="1"/>
        <v>41300000</v>
      </c>
      <c r="Q37" s="150"/>
      <c r="R37" s="150"/>
      <c r="S37" s="150"/>
      <c r="T37" s="177"/>
      <c r="U37" s="150"/>
      <c r="V37" s="150"/>
      <c r="W37" s="150"/>
    </row>
    <row r="38" spans="1:23" ht="15.95" customHeight="1">
      <c r="A38" s="150"/>
      <c r="B38" s="176"/>
      <c r="C38" s="189" t="s">
        <v>31</v>
      </c>
      <c r="D38" s="191">
        <f>SUMIFS(특허기술자문료!I:I,특허기술자문료!K:K,"&gt;="&amp;DATE(2026,1,1),특허기술자문료!K:K,"&lt;="&amp;EOMONTH(DATE(2026,1,1),0))</f>
        <v>0</v>
      </c>
      <c r="E38" s="191">
        <f>SUMIFS(특허기술자문료!I:I,특허기술자문료!K:K,"&gt;="&amp;DATE(2026,2,1),특허기술자문료!K:K,"&lt;="&amp;EOMONTH(DATE(2026,2,1),0))</f>
        <v>4813200</v>
      </c>
      <c r="F38" s="191">
        <f>SUMIFS(특허기술자문료!I:I,특허기술자문료!K:K,"&gt;="&amp;DATE(2026,3,1),특허기술자문료!K:K,"&lt;="&amp;EOMONTH(DATE(2026,3,1),0))</f>
        <v>0</v>
      </c>
      <c r="G38" s="191">
        <f>SUMIFS(특허기술자문료!I:I,특허기술자문료!K:K,"&gt;="&amp;DATE(2026,4,1),특허기술자문료!K:K,"&lt;="&amp;EOMONTH(DATE(2026,4,1),0))</f>
        <v>0</v>
      </c>
      <c r="H38" s="191">
        <f>SUMIFS(특허기술자문료!I:I,특허기술자문료!K:K,"&gt;="&amp;DATE(2026,5,1),특허기술자문료!K:K,"&lt;="&amp;EOMONTH(DATE(2026,5,1),0))</f>
        <v>0</v>
      </c>
      <c r="I38" s="191">
        <f>SUMIFS(특허기술자문료!I:I,특허기술자문료!K:K,"&gt;="&amp;DATE(2026,6,1),특허기술자문료!K:K,"&lt;="&amp;EOMONTH(DATE(2026,6,1),0))</f>
        <v>0</v>
      </c>
      <c r="J38" s="191">
        <f>SUMIFS(특허기술자문료!I:I,특허기술자문료!K:K,"&gt;="&amp;DATE(2026,7,1),특허기술자문료!K:K,"&lt;="&amp;EOMONTH(DATE(2026,7,1),0))</f>
        <v>0</v>
      </c>
      <c r="K38" s="191">
        <f>SUMIFS(특허기술자문료!I:I,특허기술자문료!K:K,"&gt;="&amp;DATE(2026,8,1),특허기술자문료!K:K,"&lt;="&amp;EOMONTH(DATE(2026,8,1),0))</f>
        <v>0</v>
      </c>
      <c r="L38" s="191">
        <f>SUMIFS(특허기술자문료!I:I,특허기술자문료!K:K,"&gt;="&amp;DATE(2026,9,1),특허기술자문료!K:K,"&lt;="&amp;EOMONTH(DATE(2026,9,1),0))</f>
        <v>0</v>
      </c>
      <c r="M38" s="191">
        <f>SUMIFS(특허기술자문료!I:I,특허기술자문료!K:K,"&gt;="&amp;DATE(2026,10,1),특허기술자문료!K:K,"&lt;="&amp;EOMONTH(DATE(2026,10,1),0))</f>
        <v>0</v>
      </c>
      <c r="N38" s="191">
        <f>SUMIFS(특허기술자문료!I:I,특허기술자문료!K:K,"&gt;="&amp;DATE(2026,11,1),특허기술자문료!K:K,"&lt;="&amp;EOMONTH(DATE(2026,11,1),0))</f>
        <v>0</v>
      </c>
      <c r="O38" s="191">
        <f>SUMIFS(특허기술자문료!I:I,특허기술자문료!K:K,"&gt;="&amp;DATE(2026,12,1),특허기술자문료!K:K,"&lt;="&amp;EOMONTH(DATE(2026,12,1),0))</f>
        <v>0</v>
      </c>
      <c r="P38" s="191">
        <f t="shared" si="1"/>
        <v>4813200</v>
      </c>
      <c r="Q38" s="150"/>
      <c r="R38" s="150"/>
      <c r="S38" s="150"/>
      <c r="T38" s="177"/>
      <c r="U38" s="150"/>
      <c r="V38" s="150"/>
      <c r="W38" s="150"/>
    </row>
    <row r="39" spans="1:23" ht="15.95" customHeight="1" thickBot="1">
      <c r="A39" s="150"/>
      <c r="B39" s="176"/>
      <c r="C39" s="197" t="s">
        <v>32</v>
      </c>
      <c r="D39" s="188">
        <f>SUMIFS(자재판매!P:P,자재판매!A:A,"&gt;="&amp;DATE(2026,1,1),자재판매!A:A,"&lt;="&amp;EOMONTH(DATE(2026,1,1),0))</f>
        <v>11000000</v>
      </c>
      <c r="E39" s="188">
        <f>SUMIFS(자재판매!P:P,자재판매!A:A,"&gt;="&amp;DATE(2026,2,1),자재판매!A:A,"&lt;="&amp;EOMONTH(DATE(2026,2,1),0))</f>
        <v>0</v>
      </c>
      <c r="F39" s="188">
        <f>SUMIFS(자재판매!P:P,자재판매!A:A,"&gt;="&amp;DATE(2026,3,1),자재판매!A:A,"&lt;="&amp;EOMONTH(DATE(2026,3,1),0))</f>
        <v>0</v>
      </c>
      <c r="G39" s="188">
        <f>SUMIFS(자재판매!P:P,자재판매!A:A,"&gt;="&amp;DATE(2026,4,1),자재판매!A:A,"&lt;="&amp;EOMONTH(DATE(2026,4,1),0))</f>
        <v>0</v>
      </c>
      <c r="H39" s="188">
        <f>SUMIFS(자재판매!P:P,자재판매!A:A,"&gt;="&amp;DATE(2026,5,1),자재판매!A:A,"&lt;="&amp;EOMONTH(DATE(2026,5,1),0))</f>
        <v>0</v>
      </c>
      <c r="I39" s="188">
        <f>SUMIFS(자재판매!P:P,자재판매!A:A,"&gt;="&amp;DATE(2026,6,1),자재판매!A:A,"&lt;="&amp;EOMONTH(DATE(2026,6,1),0))</f>
        <v>0</v>
      </c>
      <c r="J39" s="188">
        <f>SUMIFS(자재판매!P:P,자재판매!A:A,"&gt;="&amp;DATE(2026,7,1),자재판매!A:A,"&lt;="&amp;EOMONTH(DATE(2026,7,1),0))</f>
        <v>0</v>
      </c>
      <c r="K39" s="188">
        <f>SUMIFS(자재판매!P:P,자재판매!A:A,"&gt;="&amp;DATE(2026,8,1),자재판매!A:A,"&lt;="&amp;EOMONTH(DATE(2026,8,1),0))</f>
        <v>0</v>
      </c>
      <c r="L39" s="188">
        <f>SUMIFS(자재판매!P:P,자재판매!A:A,"&gt;="&amp;DATE(2026,9,1),자재판매!A:A,"&lt;="&amp;EOMONTH(DATE(2026,9,1),0))</f>
        <v>0</v>
      </c>
      <c r="M39" s="188">
        <f>SUMIFS(자재판매!P:P,자재판매!A:A,"&gt;="&amp;DATE(2026,10,1),자재판매!A:A,"&lt;="&amp;EOMONTH(DATE(2026,10,1),0))</f>
        <v>0</v>
      </c>
      <c r="N39" s="188">
        <f>SUMIFS(자재판매!P:P,자재판매!A:A,"&gt;="&amp;DATE(2026,11,1),자재판매!A:A,"&lt;="&amp;EOMONTH(DATE(2026,11,1),0))</f>
        <v>0</v>
      </c>
      <c r="O39" s="188">
        <f>SUMIFS(자재판매!P:P,자재판매!A:A,"&gt;="&amp;DATE(2026,12,1),자재판매!A:A,"&lt;="&amp;EOMONTH(DATE(2026,12,1),0))</f>
        <v>0</v>
      </c>
      <c r="P39" s="188">
        <f t="shared" si="1"/>
        <v>11000000</v>
      </c>
      <c r="Q39" s="150"/>
      <c r="R39" s="150"/>
      <c r="S39" s="150"/>
      <c r="T39" s="177"/>
      <c r="U39" s="150"/>
      <c r="V39" s="150"/>
      <c r="W39" s="150"/>
    </row>
    <row r="40" spans="1:23" ht="15.95" customHeight="1">
      <c r="A40" s="150"/>
      <c r="B40" s="176"/>
      <c r="C40" s="212" t="s">
        <v>33</v>
      </c>
      <c r="D40" s="213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>
        <f t="shared" si="1"/>
        <v>0</v>
      </c>
      <c r="Q40" s="150"/>
      <c r="R40" s="150"/>
      <c r="S40" s="150"/>
      <c r="T40" s="177"/>
      <c r="U40" s="150"/>
      <c r="V40" s="150"/>
      <c r="W40" s="150"/>
    </row>
    <row r="41" spans="1:23" ht="15.95" customHeight="1">
      <c r="A41" s="150"/>
      <c r="B41" s="176"/>
      <c r="C41" s="204" t="s">
        <v>35</v>
      </c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205"/>
      <c r="O41" s="205"/>
      <c r="P41" s="205">
        <f t="shared" si="1"/>
        <v>0</v>
      </c>
      <c r="Q41" s="150"/>
      <c r="R41" s="150"/>
      <c r="S41" s="150"/>
      <c r="T41" s="177"/>
      <c r="U41" s="150"/>
      <c r="V41" s="150"/>
      <c r="W41" s="150"/>
    </row>
    <row r="42" spans="1:23" ht="15.95" customHeight="1">
      <c r="A42" s="150"/>
      <c r="B42" s="176"/>
      <c r="C42" s="212" t="s">
        <v>36</v>
      </c>
      <c r="D42" s="213"/>
      <c r="E42" s="213"/>
      <c r="F42" s="213"/>
      <c r="G42" s="213"/>
      <c r="H42" s="213"/>
      <c r="I42" s="213"/>
      <c r="J42" s="213"/>
      <c r="K42" s="213"/>
      <c r="L42" s="213"/>
      <c r="M42" s="213"/>
      <c r="N42" s="213"/>
      <c r="O42" s="213"/>
      <c r="P42" s="213">
        <f t="shared" si="1"/>
        <v>0</v>
      </c>
      <c r="Q42" s="150"/>
      <c r="R42" s="150"/>
      <c r="S42" s="150"/>
      <c r="T42" s="177"/>
      <c r="U42" s="150"/>
      <c r="V42" s="150"/>
      <c r="W42" s="150"/>
    </row>
    <row r="43" spans="1:23" ht="15.95" customHeight="1" thickBot="1">
      <c r="A43" s="150"/>
      <c r="B43" s="176"/>
      <c r="C43" s="207" t="s">
        <v>38</v>
      </c>
      <c r="D43" s="208">
        <f t="shared" ref="D43:P43" si="2">SUM(D36:D42)</f>
        <v>27517900</v>
      </c>
      <c r="E43" s="208">
        <f t="shared" si="2"/>
        <v>46113200</v>
      </c>
      <c r="F43" s="208">
        <f t="shared" si="2"/>
        <v>0</v>
      </c>
      <c r="G43" s="208">
        <f t="shared" si="2"/>
        <v>0</v>
      </c>
      <c r="H43" s="208">
        <f t="shared" si="2"/>
        <v>0</v>
      </c>
      <c r="I43" s="208">
        <f t="shared" si="2"/>
        <v>0</v>
      </c>
      <c r="J43" s="208">
        <f t="shared" si="2"/>
        <v>0</v>
      </c>
      <c r="K43" s="208">
        <f t="shared" si="2"/>
        <v>0</v>
      </c>
      <c r="L43" s="208">
        <f t="shared" si="2"/>
        <v>0</v>
      </c>
      <c r="M43" s="208">
        <f t="shared" si="2"/>
        <v>0</v>
      </c>
      <c r="N43" s="208">
        <f t="shared" si="2"/>
        <v>0</v>
      </c>
      <c r="O43" s="208">
        <f t="shared" si="2"/>
        <v>0</v>
      </c>
      <c r="P43" s="208">
        <f t="shared" si="2"/>
        <v>73631100</v>
      </c>
      <c r="Q43" s="150"/>
      <c r="R43" s="150"/>
      <c r="S43" s="150"/>
      <c r="T43" s="177"/>
      <c r="U43" s="150"/>
      <c r="V43" s="150"/>
      <c r="W43" s="150"/>
    </row>
    <row r="44" spans="1:23" ht="13.5" customHeight="1">
      <c r="A44" s="150"/>
      <c r="B44" s="176"/>
      <c r="C44" s="150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6"/>
      <c r="Q44" s="150"/>
      <c r="R44" s="150"/>
      <c r="S44" s="150"/>
      <c r="T44" s="177"/>
      <c r="U44" s="150"/>
      <c r="V44" s="150"/>
      <c r="W44" s="150"/>
    </row>
    <row r="45" spans="1:23" ht="13.5" customHeight="1">
      <c r="A45" s="150"/>
      <c r="B45" s="176"/>
      <c r="C45" s="150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6"/>
      <c r="Q45" s="150"/>
      <c r="R45" s="150"/>
      <c r="S45" s="150"/>
      <c r="T45" s="177"/>
      <c r="U45" s="150"/>
      <c r="V45" s="150"/>
      <c r="W45" s="150"/>
    </row>
    <row r="46" spans="1:23" ht="13.5" customHeight="1">
      <c r="A46" s="150"/>
      <c r="B46" s="176"/>
      <c r="C46" s="150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6"/>
      <c r="Q46" s="150"/>
      <c r="R46" s="150"/>
      <c r="S46" s="150"/>
      <c r="T46" s="177"/>
      <c r="U46" s="150"/>
      <c r="V46" s="150"/>
      <c r="W46" s="150"/>
    </row>
    <row r="47" spans="1:23" ht="13.5" customHeight="1">
      <c r="A47" s="150"/>
      <c r="B47" s="176"/>
      <c r="C47" s="150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6"/>
      <c r="Q47" s="150"/>
      <c r="R47" s="150"/>
      <c r="S47" s="150"/>
      <c r="T47" s="177"/>
      <c r="U47" s="150"/>
      <c r="V47" s="150"/>
      <c r="W47" s="150"/>
    </row>
    <row r="48" spans="1:23" ht="14.25" customHeight="1" thickBot="1">
      <c r="A48" s="150"/>
      <c r="B48" s="178"/>
      <c r="C48" s="171"/>
      <c r="D48" s="179"/>
      <c r="E48" s="179"/>
      <c r="F48" s="179"/>
      <c r="G48" s="179"/>
      <c r="H48" s="179"/>
      <c r="I48" s="179"/>
      <c r="J48" s="179"/>
      <c r="K48" s="179"/>
      <c r="L48" s="179"/>
      <c r="M48" s="179"/>
      <c r="N48" s="179"/>
      <c r="O48" s="179"/>
      <c r="P48" s="179"/>
      <c r="Q48" s="171"/>
      <c r="R48" s="171"/>
      <c r="S48" s="171"/>
      <c r="T48" s="180"/>
      <c r="U48" s="150"/>
      <c r="V48" s="150"/>
      <c r="W48" s="150"/>
    </row>
    <row r="49" spans="1:23" ht="13.5" customHeight="1">
      <c r="A49" s="150"/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</row>
    <row r="50" spans="1:23" ht="13.5" customHeight="1">
      <c r="A50" s="150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</row>
    <row r="51" spans="1:23" ht="13.5" customHeight="1">
      <c r="A51" s="150"/>
      <c r="B51" s="150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</row>
    <row r="52" spans="1:23" ht="13.5" customHeight="1">
      <c r="A52" s="150"/>
      <c r="B52" s="150"/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</row>
    <row r="53" spans="1:23" ht="13.5" customHeight="1">
      <c r="A53" s="150"/>
      <c r="B53" s="150"/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</row>
    <row r="54" spans="1:23" ht="13.5" customHeight="1">
      <c r="A54" s="150"/>
      <c r="B54" s="150"/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</row>
    <row r="55" spans="1:23" ht="13.5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</row>
    <row r="56" spans="1:23" ht="13.5" customHeight="1">
      <c r="A56" s="150"/>
      <c r="B56" s="150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</row>
    <row r="57" spans="1:23" ht="13.5" customHeight="1">
      <c r="A57" s="150"/>
      <c r="B57" s="150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</row>
    <row r="58" spans="1:23" ht="13.5" customHeight="1">
      <c r="A58" s="150"/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</row>
  </sheetData>
  <mergeCells count="11">
    <mergeCell ref="C2:T2"/>
    <mergeCell ref="G6:H6"/>
    <mergeCell ref="K6:L6"/>
    <mergeCell ref="M7:N7"/>
    <mergeCell ref="K7:L7"/>
    <mergeCell ref="E6:F6"/>
    <mergeCell ref="C6:D6"/>
    <mergeCell ref="C7:D7"/>
    <mergeCell ref="M6:N6"/>
    <mergeCell ref="G7:H7"/>
    <mergeCell ref="E7:F7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0"/>
  <sheetViews>
    <sheetView showGridLines="0" tabSelected="1" zoomScale="90" zoomScaleNormal="90" workbookViewId="0">
      <selection activeCell="H7" sqref="H7"/>
    </sheetView>
  </sheetViews>
  <sheetFormatPr defaultColWidth="8.5" defaultRowHeight="16.5"/>
  <cols>
    <col min="1" max="1" width="2.375" style="44" customWidth="1"/>
    <col min="2" max="4" width="9.625" style="44" customWidth="1"/>
    <col min="5" max="5" width="18.25" style="44" customWidth="1"/>
    <col min="6" max="6" width="12.25" style="45" customWidth="1"/>
    <col min="7" max="7" width="12.5" style="129" customWidth="1"/>
    <col min="8" max="8" width="13.875" style="138" customWidth="1"/>
    <col min="9" max="10" width="13.125" style="44" customWidth="1"/>
    <col min="11" max="11" width="13.125" style="46" customWidth="1"/>
    <col min="12" max="13" width="13.125" style="44" customWidth="1"/>
    <col min="14" max="14" width="13.125" style="46" customWidth="1"/>
    <col min="15" max="16" width="13.125" style="44" customWidth="1"/>
    <col min="17" max="17" width="13.125" style="46" customWidth="1"/>
    <col min="18" max="19" width="14.625" style="47" customWidth="1"/>
    <col min="20" max="20" width="9.75" style="47" customWidth="1"/>
    <col min="21" max="22" width="9.375" style="44" customWidth="1"/>
    <col min="23" max="23" width="13.25" style="44" customWidth="1"/>
    <col min="24" max="24" width="7" style="2" customWidth="1"/>
    <col min="25" max="29" width="9.375" style="44" customWidth="1"/>
    <col min="30" max="30" width="9" style="44" customWidth="1"/>
    <col min="31" max="31" width="6.875" style="44" customWidth="1"/>
    <col min="32" max="35" width="13.375" style="44" customWidth="1"/>
    <col min="36" max="36" width="11.25" style="44" customWidth="1"/>
    <col min="37" max="37" width="13.5" style="44" customWidth="1"/>
    <col min="38" max="39" width="8.5" style="48" customWidth="1"/>
    <col min="40" max="45" width="8.5" style="49" customWidth="1"/>
    <col min="46" max="16384" width="8.5" style="49"/>
  </cols>
  <sheetData>
    <row r="1" spans="1:39" s="54" customFormat="1" ht="31.5" customHeight="1">
      <c r="A1" s="2"/>
      <c r="B1" s="50" t="s">
        <v>39</v>
      </c>
      <c r="C1" s="51" t="s">
        <v>27</v>
      </c>
      <c r="D1" s="51" t="s">
        <v>40</v>
      </c>
      <c r="E1" s="51" t="s">
        <v>41</v>
      </c>
      <c r="F1" s="51" t="s">
        <v>42</v>
      </c>
      <c r="G1" s="130" t="s">
        <v>43</v>
      </c>
      <c r="H1" s="125" t="s">
        <v>44</v>
      </c>
      <c r="I1" s="51" t="s">
        <v>45</v>
      </c>
      <c r="J1" s="51" t="s">
        <v>46</v>
      </c>
      <c r="K1" s="51" t="s">
        <v>47</v>
      </c>
      <c r="L1" s="51" t="s">
        <v>48</v>
      </c>
      <c r="M1" s="51" t="s">
        <v>49</v>
      </c>
      <c r="N1" s="52" t="s">
        <v>50</v>
      </c>
      <c r="O1" s="216" t="s">
        <v>156</v>
      </c>
      <c r="P1" s="51" t="s">
        <v>51</v>
      </c>
      <c r="Q1" s="52" t="s">
        <v>52</v>
      </c>
      <c r="R1" s="53" t="s">
        <v>53</v>
      </c>
      <c r="S1" s="53" t="s">
        <v>54</v>
      </c>
      <c r="U1" s="55" t="s">
        <v>55</v>
      </c>
      <c r="V1" s="56" t="s">
        <v>56</v>
      </c>
      <c r="W1" s="57" t="s">
        <v>57</v>
      </c>
      <c r="Y1" s="58" t="s">
        <v>58</v>
      </c>
      <c r="Z1" s="59" t="s">
        <v>59</v>
      </c>
      <c r="AA1" s="59" t="s">
        <v>60</v>
      </c>
      <c r="AB1" s="59" t="s">
        <v>61</v>
      </c>
      <c r="AC1" s="59" t="s">
        <v>62</v>
      </c>
      <c r="AD1" s="60" t="s">
        <v>63</v>
      </c>
      <c r="AF1" s="58" t="s">
        <v>64</v>
      </c>
      <c r="AG1" s="59" t="s">
        <v>65</v>
      </c>
      <c r="AH1" s="59" t="s">
        <v>66</v>
      </c>
      <c r="AI1" s="61" t="s">
        <v>67</v>
      </c>
      <c r="AJ1" s="59" t="s">
        <v>68</v>
      </c>
      <c r="AK1" s="60" t="s">
        <v>66</v>
      </c>
    </row>
    <row r="2" spans="1:39" s="76" customFormat="1" ht="13.5" customHeight="1">
      <c r="A2" s="62"/>
      <c r="B2" s="63">
        <v>1</v>
      </c>
      <c r="C2" s="64" t="s">
        <v>69</v>
      </c>
      <c r="D2" s="64" t="s">
        <v>70</v>
      </c>
      <c r="E2" s="64" t="s">
        <v>71</v>
      </c>
      <c r="F2" s="65">
        <v>114700000</v>
      </c>
      <c r="G2" s="126">
        <v>59588500</v>
      </c>
      <c r="H2" s="136">
        <f>G2*20%</f>
        <v>11917700</v>
      </c>
      <c r="I2" s="66" t="s">
        <v>72</v>
      </c>
      <c r="J2" s="133">
        <v>46023</v>
      </c>
      <c r="K2" s="67"/>
      <c r="L2" s="133">
        <v>46025</v>
      </c>
      <c r="M2" s="108">
        <f t="shared" ref="M2:M42" si="0">IF(L2&lt;&gt;"", L2+30, "")</f>
        <v>46055</v>
      </c>
      <c r="N2" s="67"/>
      <c r="O2" s="68"/>
      <c r="P2" s="68">
        <f t="shared" ref="P2:P28" si="1">H2*1.1-O2</f>
        <v>13109470.000000002</v>
      </c>
      <c r="Q2" s="67"/>
      <c r="R2" s="69" t="str">
        <f t="shared" ref="R2:R34" si="2">IF(AND(I2="잔금", N2&lt;&gt;"", Q2&lt;&gt;""), N2-Q2, "-")</f>
        <v>-</v>
      </c>
      <c r="S2" s="69" t="str">
        <f t="shared" ref="S2:S33" ca="1" si="3">IF(AND(P2&lt;&gt;"", P2&gt;0, M2&lt;&gt;"", TODAY()&gt;M2), "확인요망", "-")</f>
        <v>-</v>
      </c>
      <c r="T2" s="54"/>
      <c r="U2" s="70" t="s">
        <v>155</v>
      </c>
      <c r="V2" s="71"/>
      <c r="W2" s="72">
        <v>300000</v>
      </c>
      <c r="X2" s="54"/>
      <c r="Y2" s="70"/>
      <c r="Z2" s="71"/>
      <c r="AA2" s="71"/>
      <c r="AB2" s="71"/>
      <c r="AC2" s="71"/>
      <c r="AD2" s="72">
        <f>SUM(Y2:AC2)</f>
        <v>0</v>
      </c>
      <c r="AE2" s="54"/>
      <c r="AF2" s="70">
        <v>5000000</v>
      </c>
      <c r="AG2" s="71">
        <f>G2-AF2</f>
        <v>54588500</v>
      </c>
      <c r="AH2" s="73">
        <f>AG2/F2</f>
        <v>0.47592414995640803</v>
      </c>
      <c r="AI2" s="74">
        <v>3000000</v>
      </c>
      <c r="AJ2" s="71">
        <f>G2-AI2</f>
        <v>56588500</v>
      </c>
      <c r="AK2" s="75">
        <f>AJ2/F2</f>
        <v>0.49336094158674804</v>
      </c>
      <c r="AL2" s="54"/>
      <c r="AM2" s="54"/>
    </row>
    <row r="3" spans="1:39" s="84" customFormat="1" ht="13.5" customHeight="1">
      <c r="A3" s="2"/>
      <c r="B3" s="77">
        <f t="shared" ref="B3:B28" si="4">IF(I2="잔금", B2+1, B2)</f>
        <v>1</v>
      </c>
      <c r="C3" s="117" t="s">
        <v>69</v>
      </c>
      <c r="D3" s="36" t="str">
        <f>D2</f>
        <v>석민이앤씨</v>
      </c>
      <c r="E3" s="36" t="str">
        <f>E2</f>
        <v>강서힐스테이트</v>
      </c>
      <c r="F3" s="118"/>
      <c r="G3" s="127"/>
      <c r="H3" s="136">
        <f>G2*40%</f>
        <v>23835400</v>
      </c>
      <c r="I3" s="78" t="s">
        <v>73</v>
      </c>
      <c r="J3" s="134"/>
      <c r="K3" s="15"/>
      <c r="L3" s="134"/>
      <c r="M3" s="106" t="str">
        <f t="shared" si="0"/>
        <v/>
      </c>
      <c r="N3" s="15"/>
      <c r="O3" s="79"/>
      <c r="P3" s="38">
        <f t="shared" si="1"/>
        <v>26218940.000000004</v>
      </c>
      <c r="Q3" s="15"/>
      <c r="R3" s="80" t="str">
        <f t="shared" si="2"/>
        <v>-</v>
      </c>
      <c r="S3" s="80" t="str">
        <f t="shared" ca="1" si="3"/>
        <v>-</v>
      </c>
      <c r="T3" s="54"/>
      <c r="U3" s="119"/>
      <c r="V3" s="20"/>
      <c r="W3" s="82"/>
      <c r="X3" s="54"/>
      <c r="Y3" s="81"/>
      <c r="Z3" s="20"/>
      <c r="AA3" s="20"/>
      <c r="AB3" s="20"/>
      <c r="AC3" s="20"/>
      <c r="AD3" s="82"/>
      <c r="AE3" s="54"/>
      <c r="AF3" s="81"/>
      <c r="AG3" s="20"/>
      <c r="AH3" s="20"/>
      <c r="AI3" s="83"/>
      <c r="AJ3" s="20"/>
      <c r="AK3" s="82"/>
      <c r="AL3" s="54"/>
      <c r="AM3" s="54"/>
    </row>
    <row r="4" spans="1:39" s="84" customFormat="1" ht="13.5" customHeight="1">
      <c r="A4" s="2"/>
      <c r="B4" s="77">
        <f t="shared" si="4"/>
        <v>1</v>
      </c>
      <c r="C4" s="117" t="s">
        <v>69</v>
      </c>
      <c r="D4" s="36" t="str">
        <f>D3</f>
        <v>석민이앤씨</v>
      </c>
      <c r="E4" s="36" t="str">
        <f>E3</f>
        <v>강서힐스테이트</v>
      </c>
      <c r="F4" s="118"/>
      <c r="G4" s="127"/>
      <c r="H4" s="136">
        <f>(G2*40%)-AD2</f>
        <v>23835400</v>
      </c>
      <c r="I4" s="78" t="s">
        <v>74</v>
      </c>
      <c r="J4" s="134"/>
      <c r="K4" s="15"/>
      <c r="L4" s="134"/>
      <c r="M4" s="106" t="str">
        <f t="shared" si="0"/>
        <v/>
      </c>
      <c r="N4" s="112"/>
      <c r="O4" s="37"/>
      <c r="P4" s="38">
        <f t="shared" si="1"/>
        <v>26218940.000000004</v>
      </c>
      <c r="Q4" s="112"/>
      <c r="R4" s="80" t="str">
        <f t="shared" si="2"/>
        <v>-</v>
      </c>
      <c r="S4" s="80" t="str">
        <f t="shared" ca="1" si="3"/>
        <v>-</v>
      </c>
      <c r="T4" s="54"/>
      <c r="U4" s="119"/>
      <c r="V4" s="20"/>
      <c r="W4" s="82"/>
      <c r="X4" s="54"/>
      <c r="Y4" s="81"/>
      <c r="Z4" s="20"/>
      <c r="AA4" s="20"/>
      <c r="AB4" s="20"/>
      <c r="AC4" s="20"/>
      <c r="AD4" s="82"/>
      <c r="AE4" s="54"/>
      <c r="AF4" s="81"/>
      <c r="AG4" s="20"/>
      <c r="AH4" s="20"/>
      <c r="AI4" s="83"/>
      <c r="AJ4" s="20"/>
      <c r="AK4" s="82"/>
      <c r="AL4" s="54"/>
      <c r="AM4" s="54"/>
    </row>
    <row r="5" spans="1:39" s="84" customFormat="1" ht="13.5" customHeight="1">
      <c r="A5" s="2"/>
      <c r="B5" s="77">
        <f t="shared" si="4"/>
        <v>2</v>
      </c>
      <c r="C5" s="36" t="s">
        <v>69</v>
      </c>
      <c r="D5" s="36" t="s">
        <v>75</v>
      </c>
      <c r="E5" s="36" t="s">
        <v>76</v>
      </c>
      <c r="F5" s="65">
        <v>30420000</v>
      </c>
      <c r="G5" s="126">
        <v>23001000</v>
      </c>
      <c r="H5" s="136">
        <f>G5*20%</f>
        <v>4600200</v>
      </c>
      <c r="I5" s="78" t="s">
        <v>72</v>
      </c>
      <c r="J5" s="133">
        <v>46023</v>
      </c>
      <c r="K5" s="15"/>
      <c r="L5" s="133">
        <v>46025</v>
      </c>
      <c r="M5" s="108">
        <f t="shared" ref="M5" si="5">IF(L5&lt;&gt;"", L5+30, "")</f>
        <v>46055</v>
      </c>
      <c r="N5" s="15"/>
      <c r="O5" s="37"/>
      <c r="P5" s="38">
        <f t="shared" si="1"/>
        <v>5060220</v>
      </c>
      <c r="Q5" s="15"/>
      <c r="R5" s="80" t="str">
        <f t="shared" si="2"/>
        <v>-</v>
      </c>
      <c r="S5" s="80" t="str">
        <f t="shared" ca="1" si="3"/>
        <v>-</v>
      </c>
      <c r="T5" s="54"/>
      <c r="U5" s="81"/>
      <c r="V5" s="20"/>
      <c r="W5" s="82"/>
      <c r="X5" s="54"/>
      <c r="Y5" s="81"/>
      <c r="Z5" s="20"/>
      <c r="AA5" s="20"/>
      <c r="AB5" s="20"/>
      <c r="AC5" s="20"/>
      <c r="AD5" s="82"/>
      <c r="AE5" s="54"/>
      <c r="AF5" s="81"/>
      <c r="AG5" s="20"/>
      <c r="AH5" s="20"/>
      <c r="AI5" s="83"/>
      <c r="AJ5" s="20"/>
      <c r="AK5" s="82"/>
      <c r="AL5" s="54"/>
      <c r="AM5" s="54"/>
    </row>
    <row r="6" spans="1:39" s="84" customFormat="1" ht="13.5" customHeight="1">
      <c r="A6" s="2"/>
      <c r="B6" s="77">
        <f t="shared" si="4"/>
        <v>2</v>
      </c>
      <c r="C6" s="117" t="s">
        <v>69</v>
      </c>
      <c r="D6" s="36" t="str">
        <f>D5</f>
        <v>여름건설</v>
      </c>
      <c r="E6" s="36" t="str">
        <f>E5</f>
        <v>자양10차현대홈타운</v>
      </c>
      <c r="F6" s="118"/>
      <c r="G6" s="127"/>
      <c r="H6" s="136">
        <f>G5*40%</f>
        <v>9200400</v>
      </c>
      <c r="I6" s="78" t="s">
        <v>73</v>
      </c>
      <c r="J6" s="134"/>
      <c r="K6" s="15"/>
      <c r="L6" s="134"/>
      <c r="M6" s="106" t="str">
        <f t="shared" si="0"/>
        <v/>
      </c>
      <c r="N6" s="15"/>
      <c r="O6" s="37"/>
      <c r="P6" s="38">
        <f t="shared" si="1"/>
        <v>10120440</v>
      </c>
      <c r="Q6" s="15"/>
      <c r="R6" s="80" t="str">
        <f t="shared" si="2"/>
        <v>-</v>
      </c>
      <c r="S6" s="80" t="str">
        <f t="shared" ca="1" si="3"/>
        <v>-</v>
      </c>
      <c r="T6" s="54"/>
      <c r="U6" s="81"/>
      <c r="V6" s="20"/>
      <c r="W6" s="82"/>
      <c r="X6" s="54"/>
      <c r="Y6" s="81"/>
      <c r="Z6" s="20"/>
      <c r="AA6" s="20"/>
      <c r="AB6" s="20"/>
      <c r="AC6" s="20"/>
      <c r="AD6" s="82"/>
      <c r="AE6" s="54"/>
      <c r="AF6" s="81"/>
      <c r="AG6" s="20"/>
      <c r="AH6" s="20"/>
      <c r="AI6" s="83"/>
      <c r="AJ6" s="20"/>
      <c r="AK6" s="82"/>
      <c r="AL6" s="54"/>
      <c r="AM6" s="54"/>
    </row>
    <row r="7" spans="1:39" s="84" customFormat="1" ht="13.5" customHeight="1">
      <c r="A7" s="2"/>
      <c r="B7" s="77">
        <f t="shared" si="4"/>
        <v>2</v>
      </c>
      <c r="C7" s="117" t="s">
        <v>69</v>
      </c>
      <c r="D7" s="36" t="str">
        <f>D6</f>
        <v>여름건설</v>
      </c>
      <c r="E7" s="36" t="str">
        <f>E6</f>
        <v>자양10차현대홈타운</v>
      </c>
      <c r="F7" s="118"/>
      <c r="G7" s="127"/>
      <c r="H7" s="136">
        <f>(G5*40%)-AD5</f>
        <v>9200400</v>
      </c>
      <c r="I7" s="78" t="s">
        <v>74</v>
      </c>
      <c r="J7" s="134"/>
      <c r="K7" s="15"/>
      <c r="L7" s="134"/>
      <c r="M7" s="106" t="str">
        <f t="shared" si="0"/>
        <v/>
      </c>
      <c r="N7" s="15"/>
      <c r="O7" s="37"/>
      <c r="P7" s="38">
        <f t="shared" si="1"/>
        <v>10120440</v>
      </c>
      <c r="Q7" s="15"/>
      <c r="R7" s="80" t="str">
        <f t="shared" si="2"/>
        <v>-</v>
      </c>
      <c r="S7" s="80" t="str">
        <f t="shared" ca="1" si="3"/>
        <v>-</v>
      </c>
      <c r="T7" s="54"/>
      <c r="U7" s="81"/>
      <c r="V7" s="20"/>
      <c r="W7" s="82"/>
      <c r="X7" s="54"/>
      <c r="Y7" s="81"/>
      <c r="Z7" s="20"/>
      <c r="AA7" s="20"/>
      <c r="AB7" s="20"/>
      <c r="AC7" s="20"/>
      <c r="AD7" s="82"/>
      <c r="AE7" s="54"/>
      <c r="AF7" s="81"/>
      <c r="AG7" s="20"/>
      <c r="AH7" s="20"/>
      <c r="AI7" s="83"/>
      <c r="AJ7" s="20"/>
      <c r="AK7" s="82"/>
      <c r="AL7" s="54"/>
      <c r="AM7" s="54"/>
    </row>
    <row r="8" spans="1:39" s="84" customFormat="1" ht="13.5" customHeight="1">
      <c r="A8" s="2"/>
      <c r="B8" s="77">
        <f t="shared" si="4"/>
        <v>3</v>
      </c>
      <c r="C8" s="36" t="s">
        <v>69</v>
      </c>
      <c r="D8" s="36" t="s">
        <v>75</v>
      </c>
      <c r="E8" s="36" t="s">
        <v>77</v>
      </c>
      <c r="F8" s="65">
        <v>39060000</v>
      </c>
      <c r="G8" s="126">
        <v>30580000</v>
      </c>
      <c r="H8" s="136">
        <f>G8*20%</f>
        <v>6116000</v>
      </c>
      <c r="I8" s="78" t="s">
        <v>72</v>
      </c>
      <c r="J8" s="133">
        <v>46023</v>
      </c>
      <c r="K8" s="15"/>
      <c r="L8" s="133"/>
      <c r="M8" s="106" t="str">
        <f t="shared" si="0"/>
        <v/>
      </c>
      <c r="N8" s="15"/>
      <c r="O8" s="37"/>
      <c r="P8" s="38">
        <f t="shared" si="1"/>
        <v>6727600.0000000009</v>
      </c>
      <c r="Q8" s="15"/>
      <c r="R8" s="80" t="str">
        <f t="shared" si="2"/>
        <v>-</v>
      </c>
      <c r="S8" s="80" t="str">
        <f t="shared" ca="1" si="3"/>
        <v>-</v>
      </c>
      <c r="T8" s="54"/>
      <c r="U8" s="81"/>
      <c r="V8" s="20"/>
      <c r="W8" s="82"/>
      <c r="X8" s="54"/>
      <c r="Y8" s="81"/>
      <c r="Z8" s="20"/>
      <c r="AA8" s="20"/>
      <c r="AB8" s="20"/>
      <c r="AC8" s="20"/>
      <c r="AD8" s="82"/>
      <c r="AE8" s="54"/>
      <c r="AF8" s="81"/>
      <c r="AG8" s="20"/>
      <c r="AH8" s="20"/>
      <c r="AI8" s="83"/>
      <c r="AJ8" s="20"/>
      <c r="AK8" s="82"/>
      <c r="AL8" s="54"/>
      <c r="AM8" s="54"/>
    </row>
    <row r="9" spans="1:39" s="84" customFormat="1" ht="13.5" customHeight="1">
      <c r="A9" s="2"/>
      <c r="B9" s="77">
        <f t="shared" si="4"/>
        <v>3</v>
      </c>
      <c r="C9" s="117" t="s">
        <v>69</v>
      </c>
      <c r="D9" s="36" t="str">
        <f>D8</f>
        <v>여름건설</v>
      </c>
      <c r="E9" s="36" t="str">
        <f>E8</f>
        <v>광더파크빌</v>
      </c>
      <c r="F9" s="118"/>
      <c r="G9" s="127"/>
      <c r="H9" s="136">
        <f>G8*40%</f>
        <v>12232000</v>
      </c>
      <c r="I9" s="78" t="s">
        <v>73</v>
      </c>
      <c r="J9" s="134"/>
      <c r="K9" s="15"/>
      <c r="L9" s="134"/>
      <c r="M9" s="106" t="str">
        <f t="shared" si="0"/>
        <v/>
      </c>
      <c r="N9" s="15"/>
      <c r="O9" s="37"/>
      <c r="P9" s="38">
        <f t="shared" si="1"/>
        <v>13455200.000000002</v>
      </c>
      <c r="Q9" s="15"/>
      <c r="R9" s="80" t="str">
        <f t="shared" si="2"/>
        <v>-</v>
      </c>
      <c r="S9" s="80" t="str">
        <f t="shared" ca="1" si="3"/>
        <v>-</v>
      </c>
      <c r="T9" s="54"/>
      <c r="U9" s="81"/>
      <c r="V9" s="20"/>
      <c r="W9" s="82"/>
      <c r="X9" s="54"/>
      <c r="Y9" s="81"/>
      <c r="Z9" s="20"/>
      <c r="AA9" s="20"/>
      <c r="AB9" s="20"/>
      <c r="AC9" s="20"/>
      <c r="AD9" s="82"/>
      <c r="AE9" s="54"/>
      <c r="AF9" s="81"/>
      <c r="AG9" s="20"/>
      <c r="AH9" s="20"/>
      <c r="AI9" s="83"/>
      <c r="AJ9" s="20"/>
      <c r="AK9" s="82"/>
      <c r="AL9" s="54"/>
      <c r="AM9" s="54"/>
    </row>
    <row r="10" spans="1:39" s="84" customFormat="1" ht="13.5" customHeight="1">
      <c r="A10" s="2"/>
      <c r="B10" s="77">
        <f t="shared" si="4"/>
        <v>3</v>
      </c>
      <c r="C10" s="117" t="s">
        <v>69</v>
      </c>
      <c r="D10" s="36" t="str">
        <f>D9</f>
        <v>여름건설</v>
      </c>
      <c r="E10" s="36" t="str">
        <f>E9</f>
        <v>광더파크빌</v>
      </c>
      <c r="F10" s="118"/>
      <c r="G10" s="127"/>
      <c r="H10" s="136">
        <f>(G8*40%)-AD8</f>
        <v>12232000</v>
      </c>
      <c r="I10" s="78" t="s">
        <v>74</v>
      </c>
      <c r="J10" s="134"/>
      <c r="K10" s="15"/>
      <c r="L10" s="134"/>
      <c r="M10" s="106" t="str">
        <f t="shared" si="0"/>
        <v/>
      </c>
      <c r="N10" s="15"/>
      <c r="O10" s="37"/>
      <c r="P10" s="38">
        <f t="shared" si="1"/>
        <v>13455200.000000002</v>
      </c>
      <c r="Q10" s="15"/>
      <c r="R10" s="80" t="str">
        <f t="shared" si="2"/>
        <v>-</v>
      </c>
      <c r="S10" s="80" t="str">
        <f t="shared" ca="1" si="3"/>
        <v>-</v>
      </c>
      <c r="T10" s="54"/>
      <c r="U10" s="81"/>
      <c r="V10" s="20"/>
      <c r="W10" s="82"/>
      <c r="X10" s="54"/>
      <c r="Y10" s="81"/>
      <c r="Z10" s="20"/>
      <c r="AA10" s="20"/>
      <c r="AB10" s="20"/>
      <c r="AC10" s="20"/>
      <c r="AD10" s="82"/>
      <c r="AE10" s="54"/>
      <c r="AF10" s="81"/>
      <c r="AG10" s="20"/>
      <c r="AH10" s="20"/>
      <c r="AI10" s="83"/>
      <c r="AJ10" s="20"/>
      <c r="AK10" s="82"/>
      <c r="AL10" s="54"/>
      <c r="AM10" s="54"/>
    </row>
    <row r="11" spans="1:39" s="84" customFormat="1" ht="13.5" customHeight="1">
      <c r="A11" s="2"/>
      <c r="B11" s="77">
        <f t="shared" si="4"/>
        <v>4</v>
      </c>
      <c r="C11" s="36" t="s">
        <v>69</v>
      </c>
      <c r="D11" s="36" t="s">
        <v>78</v>
      </c>
      <c r="E11" s="36" t="s">
        <v>79</v>
      </c>
      <c r="F11" s="65">
        <v>202900000</v>
      </c>
      <c r="G11" s="126">
        <f>F11-AO11</f>
        <v>202900000</v>
      </c>
      <c r="H11" s="136">
        <f>G11*20%</f>
        <v>40580000</v>
      </c>
      <c r="I11" s="78" t="s">
        <v>72</v>
      </c>
      <c r="J11" s="133">
        <v>46023</v>
      </c>
      <c r="K11" s="15"/>
      <c r="L11" s="133"/>
      <c r="M11" s="106" t="str">
        <f t="shared" si="0"/>
        <v/>
      </c>
      <c r="N11" s="15"/>
      <c r="O11" s="37"/>
      <c r="P11" s="38">
        <f t="shared" si="1"/>
        <v>44638000</v>
      </c>
      <c r="Q11" s="15"/>
      <c r="R11" s="80" t="str">
        <f t="shared" si="2"/>
        <v>-</v>
      </c>
      <c r="S11" s="80" t="str">
        <f t="shared" ca="1" si="3"/>
        <v>-</v>
      </c>
      <c r="T11" s="54"/>
      <c r="U11" s="81"/>
      <c r="V11" s="20"/>
      <c r="W11" s="82"/>
      <c r="X11" s="54"/>
      <c r="Y11" s="81"/>
      <c r="Z11" s="20"/>
      <c r="AA11" s="20"/>
      <c r="AB11" s="20"/>
      <c r="AC11" s="20"/>
      <c r="AD11" s="82"/>
      <c r="AE11" s="54"/>
      <c r="AF11" s="81"/>
      <c r="AG11" s="20"/>
      <c r="AH11" s="20"/>
      <c r="AI11" s="83"/>
      <c r="AJ11" s="20"/>
      <c r="AK11" s="82"/>
      <c r="AL11" s="54"/>
      <c r="AM11" s="54"/>
    </row>
    <row r="12" spans="1:39" s="84" customFormat="1" ht="13.5" customHeight="1">
      <c r="A12" s="2"/>
      <c r="B12" s="77">
        <f t="shared" si="4"/>
        <v>4</v>
      </c>
      <c r="C12" s="117" t="s">
        <v>69</v>
      </c>
      <c r="D12" s="36" t="str">
        <f>D11</f>
        <v>기림이앤씨</v>
      </c>
      <c r="E12" s="36" t="str">
        <f>E11</f>
        <v>해누리선경</v>
      </c>
      <c r="F12" s="118"/>
      <c r="G12" s="127"/>
      <c r="H12" s="136">
        <f>G11*40%</f>
        <v>81160000</v>
      </c>
      <c r="I12" s="78" t="s">
        <v>73</v>
      </c>
      <c r="J12" s="134"/>
      <c r="K12" s="15"/>
      <c r="L12" s="134"/>
      <c r="M12" s="106" t="str">
        <f t="shared" si="0"/>
        <v/>
      </c>
      <c r="N12" s="15"/>
      <c r="O12" s="37"/>
      <c r="P12" s="38">
        <f t="shared" si="1"/>
        <v>89276000</v>
      </c>
      <c r="Q12" s="15"/>
      <c r="R12" s="80" t="str">
        <f t="shared" si="2"/>
        <v>-</v>
      </c>
      <c r="S12" s="80" t="str">
        <f t="shared" ca="1" si="3"/>
        <v>-</v>
      </c>
      <c r="T12" s="54"/>
      <c r="U12" s="81"/>
      <c r="V12" s="20"/>
      <c r="W12" s="82"/>
      <c r="X12" s="54"/>
      <c r="Y12" s="81"/>
      <c r="Z12" s="20"/>
      <c r="AA12" s="20"/>
      <c r="AB12" s="20"/>
      <c r="AC12" s="20"/>
      <c r="AD12" s="82"/>
      <c r="AE12" s="54"/>
      <c r="AF12" s="81"/>
      <c r="AG12" s="20"/>
      <c r="AH12" s="20"/>
      <c r="AI12" s="83"/>
      <c r="AJ12" s="20"/>
      <c r="AK12" s="82"/>
      <c r="AL12" s="54"/>
      <c r="AM12" s="54"/>
    </row>
    <row r="13" spans="1:39" s="84" customFormat="1" ht="13.5" customHeight="1">
      <c r="A13" s="2"/>
      <c r="B13" s="77">
        <f t="shared" si="4"/>
        <v>4</v>
      </c>
      <c r="C13" s="117" t="s">
        <v>69</v>
      </c>
      <c r="D13" s="36" t="str">
        <f>D12</f>
        <v>기림이앤씨</v>
      </c>
      <c r="E13" s="36" t="str">
        <f>E12</f>
        <v>해누리선경</v>
      </c>
      <c r="F13" s="118"/>
      <c r="G13" s="127"/>
      <c r="H13" s="136">
        <f>(G11*40%)-AD11</f>
        <v>81160000</v>
      </c>
      <c r="I13" s="78" t="s">
        <v>74</v>
      </c>
      <c r="J13" s="134"/>
      <c r="K13" s="15"/>
      <c r="L13" s="134"/>
      <c r="M13" s="106" t="str">
        <f t="shared" si="0"/>
        <v/>
      </c>
      <c r="N13" s="15"/>
      <c r="O13" s="37"/>
      <c r="P13" s="38">
        <f t="shared" si="1"/>
        <v>89276000</v>
      </c>
      <c r="Q13" s="15"/>
      <c r="R13" s="80" t="str">
        <f t="shared" si="2"/>
        <v>-</v>
      </c>
      <c r="S13" s="80" t="str">
        <f t="shared" ca="1" si="3"/>
        <v>-</v>
      </c>
      <c r="T13" s="54"/>
      <c r="U13" s="81"/>
      <c r="V13" s="20"/>
      <c r="W13" s="82"/>
      <c r="X13" s="54"/>
      <c r="Y13" s="81"/>
      <c r="Z13" s="20"/>
      <c r="AA13" s="20"/>
      <c r="AB13" s="20"/>
      <c r="AC13" s="20"/>
      <c r="AD13" s="82"/>
      <c r="AE13" s="54"/>
      <c r="AF13" s="81"/>
      <c r="AG13" s="20"/>
      <c r="AH13" s="20"/>
      <c r="AI13" s="83"/>
      <c r="AJ13" s="20"/>
      <c r="AK13" s="82"/>
      <c r="AL13" s="54"/>
      <c r="AM13" s="54"/>
    </row>
    <row r="14" spans="1:39" s="84" customFormat="1" ht="13.5" customHeight="1">
      <c r="A14" s="2"/>
      <c r="B14" s="77">
        <f t="shared" si="4"/>
        <v>5</v>
      </c>
      <c r="C14" s="36" t="s">
        <v>69</v>
      </c>
      <c r="D14" s="36" t="s">
        <v>78</v>
      </c>
      <c r="E14" s="36" t="s">
        <v>80</v>
      </c>
      <c r="F14" s="65">
        <v>118400000</v>
      </c>
      <c r="G14" s="126">
        <v>92300000</v>
      </c>
      <c r="H14" s="136">
        <f>G14*20%</f>
        <v>18460000</v>
      </c>
      <c r="I14" s="78" t="s">
        <v>72</v>
      </c>
      <c r="J14" s="133">
        <v>46023</v>
      </c>
      <c r="K14" s="15"/>
      <c r="L14" s="133"/>
      <c r="M14" s="106" t="str">
        <f t="shared" si="0"/>
        <v/>
      </c>
      <c r="N14" s="15"/>
      <c r="O14" s="37"/>
      <c r="P14" s="38">
        <f t="shared" si="1"/>
        <v>20306000</v>
      </c>
      <c r="Q14" s="15"/>
      <c r="R14" s="80" t="str">
        <f t="shared" si="2"/>
        <v>-</v>
      </c>
      <c r="S14" s="80" t="str">
        <f t="shared" ca="1" si="3"/>
        <v>-</v>
      </c>
      <c r="T14" s="54"/>
      <c r="U14" s="81"/>
      <c r="V14" s="20"/>
      <c r="W14" s="82"/>
      <c r="X14" s="54"/>
      <c r="Y14" s="81"/>
      <c r="Z14" s="20"/>
      <c r="AA14" s="20"/>
      <c r="AB14" s="20"/>
      <c r="AC14" s="20"/>
      <c r="AD14" s="82"/>
      <c r="AE14" s="54"/>
      <c r="AF14" s="81"/>
      <c r="AG14" s="20"/>
      <c r="AH14" s="20"/>
      <c r="AI14" s="83"/>
      <c r="AJ14" s="20"/>
      <c r="AK14" s="82"/>
      <c r="AL14" s="54"/>
      <c r="AM14" s="54"/>
    </row>
    <row r="15" spans="1:39" s="84" customFormat="1" ht="13.5" customHeight="1">
      <c r="A15" s="2"/>
      <c r="B15" s="77">
        <f t="shared" si="4"/>
        <v>5</v>
      </c>
      <c r="C15" s="117" t="s">
        <v>69</v>
      </c>
      <c r="D15" s="36" t="str">
        <f>D14</f>
        <v>기림이앤씨</v>
      </c>
      <c r="E15" s="36" t="str">
        <f>E14</f>
        <v>지웰시티푸르지오1단지오피스텔</v>
      </c>
      <c r="F15" s="118"/>
      <c r="G15" s="127"/>
      <c r="H15" s="136">
        <f>G14*40%</f>
        <v>36920000</v>
      </c>
      <c r="I15" s="78" t="s">
        <v>73</v>
      </c>
      <c r="J15" s="134"/>
      <c r="K15" s="15"/>
      <c r="L15" s="134"/>
      <c r="M15" s="106" t="str">
        <f t="shared" si="0"/>
        <v/>
      </c>
      <c r="N15" s="15"/>
      <c r="O15" s="37"/>
      <c r="P15" s="38">
        <f t="shared" si="1"/>
        <v>40612000</v>
      </c>
      <c r="Q15" s="15"/>
      <c r="R15" s="80" t="str">
        <f t="shared" si="2"/>
        <v>-</v>
      </c>
      <c r="S15" s="80" t="str">
        <f t="shared" ca="1" si="3"/>
        <v>-</v>
      </c>
      <c r="T15" s="54"/>
      <c r="U15" s="81"/>
      <c r="V15" s="20"/>
      <c r="W15" s="82"/>
      <c r="X15" s="54"/>
      <c r="Y15" s="81"/>
      <c r="Z15" s="20"/>
      <c r="AA15" s="20"/>
      <c r="AB15" s="20"/>
      <c r="AC15" s="20"/>
      <c r="AD15" s="82"/>
      <c r="AE15" s="54"/>
      <c r="AF15" s="81"/>
      <c r="AG15" s="20"/>
      <c r="AH15" s="20"/>
      <c r="AI15" s="83"/>
      <c r="AJ15" s="20"/>
      <c r="AK15" s="82"/>
      <c r="AL15" s="54"/>
      <c r="AM15" s="54"/>
    </row>
    <row r="16" spans="1:39" s="84" customFormat="1" ht="13.5" customHeight="1">
      <c r="A16" s="2"/>
      <c r="B16" s="77">
        <f t="shared" si="4"/>
        <v>5</v>
      </c>
      <c r="C16" s="117" t="s">
        <v>69</v>
      </c>
      <c r="D16" s="36" t="str">
        <f>D15</f>
        <v>기림이앤씨</v>
      </c>
      <c r="E16" s="36" t="str">
        <f>E15</f>
        <v>지웰시티푸르지오1단지오피스텔</v>
      </c>
      <c r="F16" s="118"/>
      <c r="G16" s="127"/>
      <c r="H16" s="136">
        <f>(G14*40%)-AD14</f>
        <v>36920000</v>
      </c>
      <c r="I16" s="78" t="s">
        <v>74</v>
      </c>
      <c r="J16" s="134"/>
      <c r="K16" s="15"/>
      <c r="L16" s="134"/>
      <c r="M16" s="106" t="str">
        <f t="shared" si="0"/>
        <v/>
      </c>
      <c r="N16" s="15"/>
      <c r="O16" s="37"/>
      <c r="P16" s="38">
        <f t="shared" si="1"/>
        <v>40612000</v>
      </c>
      <c r="Q16" s="15"/>
      <c r="R16" s="80" t="str">
        <f t="shared" si="2"/>
        <v>-</v>
      </c>
      <c r="S16" s="80" t="str">
        <f t="shared" ca="1" si="3"/>
        <v>-</v>
      </c>
      <c r="T16" s="54"/>
      <c r="U16" s="81"/>
      <c r="V16" s="20"/>
      <c r="W16" s="82"/>
      <c r="X16" s="54"/>
      <c r="Y16" s="81"/>
      <c r="Z16" s="20"/>
      <c r="AA16" s="20"/>
      <c r="AB16" s="20"/>
      <c r="AC16" s="20"/>
      <c r="AD16" s="82"/>
      <c r="AE16" s="54"/>
      <c r="AF16" s="81"/>
      <c r="AG16" s="20"/>
      <c r="AH16" s="20"/>
      <c r="AI16" s="83"/>
      <c r="AJ16" s="20"/>
      <c r="AK16" s="82"/>
      <c r="AL16" s="54"/>
      <c r="AM16" s="54"/>
    </row>
    <row r="17" spans="1:39" s="84" customFormat="1" ht="13.5" customHeight="1">
      <c r="A17" s="2"/>
      <c r="B17" s="77">
        <f t="shared" si="4"/>
        <v>6</v>
      </c>
      <c r="C17" s="36" t="s">
        <v>69</v>
      </c>
      <c r="D17" s="36" t="s">
        <v>81</v>
      </c>
      <c r="E17" s="36" t="s">
        <v>82</v>
      </c>
      <c r="F17" s="65">
        <v>105000000</v>
      </c>
      <c r="G17" s="126">
        <v>10000</v>
      </c>
      <c r="H17" s="136">
        <f>G17*20%</f>
        <v>2000</v>
      </c>
      <c r="I17" s="78" t="s">
        <v>72</v>
      </c>
      <c r="J17" s="133">
        <v>46023</v>
      </c>
      <c r="K17" s="15"/>
      <c r="L17" s="133"/>
      <c r="M17" s="106" t="str">
        <f t="shared" si="0"/>
        <v/>
      </c>
      <c r="N17" s="15"/>
      <c r="O17" s="37"/>
      <c r="P17" s="38">
        <f t="shared" si="1"/>
        <v>2200</v>
      </c>
      <c r="Q17" s="15"/>
      <c r="R17" s="80" t="str">
        <f t="shared" si="2"/>
        <v>-</v>
      </c>
      <c r="S17" s="80" t="str">
        <f t="shared" ca="1" si="3"/>
        <v>-</v>
      </c>
      <c r="T17" s="54"/>
      <c r="U17" s="81"/>
      <c r="V17" s="20"/>
      <c r="W17" s="82"/>
      <c r="X17" s="54"/>
      <c r="Y17" s="81"/>
      <c r="Z17" s="20"/>
      <c r="AA17" s="20"/>
      <c r="AB17" s="20"/>
      <c r="AC17" s="20"/>
      <c r="AD17" s="82"/>
      <c r="AE17" s="54"/>
      <c r="AF17" s="81"/>
      <c r="AG17" s="20"/>
      <c r="AH17" s="20"/>
      <c r="AI17" s="83"/>
      <c r="AJ17" s="20"/>
      <c r="AK17" s="82"/>
      <c r="AL17" s="54"/>
      <c r="AM17" s="54"/>
    </row>
    <row r="18" spans="1:39" s="84" customFormat="1" ht="13.5" customHeight="1">
      <c r="A18" s="2"/>
      <c r="B18" s="77">
        <f t="shared" si="4"/>
        <v>6</v>
      </c>
      <c r="C18" s="117" t="s">
        <v>69</v>
      </c>
      <c r="D18" s="36" t="str">
        <f>D17</f>
        <v>건진개발</v>
      </c>
      <c r="E18" s="36" t="str">
        <f>E17</f>
        <v>덕천동롯데</v>
      </c>
      <c r="F18" s="118"/>
      <c r="G18" s="127"/>
      <c r="H18" s="136">
        <f>G17*40%</f>
        <v>4000</v>
      </c>
      <c r="I18" s="78" t="s">
        <v>73</v>
      </c>
      <c r="J18" s="134"/>
      <c r="K18" s="15"/>
      <c r="L18" s="134"/>
      <c r="M18" s="106" t="str">
        <f t="shared" si="0"/>
        <v/>
      </c>
      <c r="N18" s="15"/>
      <c r="O18" s="37"/>
      <c r="P18" s="38">
        <f t="shared" si="1"/>
        <v>4400</v>
      </c>
      <c r="Q18" s="15"/>
      <c r="R18" s="80" t="str">
        <f t="shared" si="2"/>
        <v>-</v>
      </c>
      <c r="S18" s="80" t="str">
        <f t="shared" ca="1" si="3"/>
        <v>-</v>
      </c>
      <c r="T18" s="54"/>
      <c r="U18" s="81"/>
      <c r="V18" s="20"/>
      <c r="W18" s="82"/>
      <c r="X18" s="54"/>
      <c r="Y18" s="81"/>
      <c r="Z18" s="20"/>
      <c r="AA18" s="20"/>
      <c r="AB18" s="20"/>
      <c r="AC18" s="20"/>
      <c r="AD18" s="82"/>
      <c r="AE18" s="54"/>
      <c r="AF18" s="81"/>
      <c r="AG18" s="20"/>
      <c r="AH18" s="20"/>
      <c r="AI18" s="83"/>
      <c r="AJ18" s="20"/>
      <c r="AK18" s="82"/>
      <c r="AL18" s="54"/>
      <c r="AM18" s="54"/>
    </row>
    <row r="19" spans="1:39" s="84" customFormat="1" ht="13.5" customHeight="1">
      <c r="A19" s="2"/>
      <c r="B19" s="77">
        <f t="shared" si="4"/>
        <v>6</v>
      </c>
      <c r="C19" s="117" t="s">
        <v>69</v>
      </c>
      <c r="D19" s="36" t="str">
        <f>D18</f>
        <v>건진개발</v>
      </c>
      <c r="E19" s="36" t="str">
        <f>E18</f>
        <v>덕천동롯데</v>
      </c>
      <c r="F19" s="118"/>
      <c r="G19" s="127"/>
      <c r="H19" s="136">
        <f>(G17*40%)-AD17</f>
        <v>4000</v>
      </c>
      <c r="I19" s="78" t="s">
        <v>74</v>
      </c>
      <c r="J19" s="134"/>
      <c r="K19" s="15"/>
      <c r="L19" s="134"/>
      <c r="M19" s="106" t="str">
        <f t="shared" si="0"/>
        <v/>
      </c>
      <c r="N19" s="15"/>
      <c r="O19" s="37"/>
      <c r="P19" s="38">
        <f t="shared" si="1"/>
        <v>4400</v>
      </c>
      <c r="Q19" s="15"/>
      <c r="R19" s="80" t="str">
        <f t="shared" si="2"/>
        <v>-</v>
      </c>
      <c r="S19" s="80" t="str">
        <f t="shared" ca="1" si="3"/>
        <v>-</v>
      </c>
      <c r="T19" s="54"/>
      <c r="U19" s="81"/>
      <c r="V19" s="20"/>
      <c r="W19" s="82"/>
      <c r="X19" s="54"/>
      <c r="Y19" s="81"/>
      <c r="Z19" s="20"/>
      <c r="AA19" s="20"/>
      <c r="AB19" s="20"/>
      <c r="AC19" s="20"/>
      <c r="AD19" s="82"/>
      <c r="AE19" s="54"/>
      <c r="AF19" s="81"/>
      <c r="AG19" s="20"/>
      <c r="AH19" s="20"/>
      <c r="AI19" s="83"/>
      <c r="AJ19" s="20"/>
      <c r="AK19" s="82"/>
      <c r="AL19" s="54"/>
      <c r="AM19" s="54"/>
    </row>
    <row r="20" spans="1:39" s="84" customFormat="1" ht="13.5" customHeight="1">
      <c r="A20" s="2"/>
      <c r="B20" s="77">
        <f t="shared" si="4"/>
        <v>7</v>
      </c>
      <c r="C20" s="36" t="s">
        <v>69</v>
      </c>
      <c r="D20" s="36" t="s">
        <v>83</v>
      </c>
      <c r="E20" s="36" t="s">
        <v>84</v>
      </c>
      <c r="F20" s="65">
        <v>204300000</v>
      </c>
      <c r="G20" s="126">
        <v>10000</v>
      </c>
      <c r="H20" s="136">
        <f>G20*20%</f>
        <v>2000</v>
      </c>
      <c r="I20" s="78" t="s">
        <v>72</v>
      </c>
      <c r="J20" s="133">
        <v>46023</v>
      </c>
      <c r="K20" s="15"/>
      <c r="L20" s="133"/>
      <c r="M20" s="106" t="str">
        <f t="shared" si="0"/>
        <v/>
      </c>
      <c r="N20" s="15"/>
      <c r="O20" s="37"/>
      <c r="P20" s="38">
        <f t="shared" si="1"/>
        <v>2200</v>
      </c>
      <c r="Q20" s="15"/>
      <c r="R20" s="80" t="str">
        <f t="shared" si="2"/>
        <v>-</v>
      </c>
      <c r="S20" s="80" t="str">
        <f t="shared" ca="1" si="3"/>
        <v>-</v>
      </c>
      <c r="T20" s="54"/>
      <c r="U20" s="81"/>
      <c r="V20" s="20"/>
      <c r="W20" s="82"/>
      <c r="X20" s="54"/>
      <c r="Y20" s="81"/>
      <c r="Z20" s="20"/>
      <c r="AA20" s="20"/>
      <c r="AB20" s="20"/>
      <c r="AC20" s="20"/>
      <c r="AD20" s="82"/>
      <c r="AE20" s="54"/>
      <c r="AF20" s="81"/>
      <c r="AG20" s="20"/>
      <c r="AH20" s="20"/>
      <c r="AI20" s="83"/>
      <c r="AJ20" s="20"/>
      <c r="AK20" s="82"/>
      <c r="AL20" s="54"/>
      <c r="AM20" s="54"/>
    </row>
    <row r="21" spans="1:39" s="84" customFormat="1" ht="13.5" customHeight="1">
      <c r="A21" s="2"/>
      <c r="B21" s="77">
        <f t="shared" si="4"/>
        <v>7</v>
      </c>
      <c r="C21" s="117" t="s">
        <v>69</v>
      </c>
      <c r="D21" s="36" t="str">
        <f>D20</f>
        <v>덕수건설</v>
      </c>
      <c r="E21" s="36" t="str">
        <f>E20</f>
        <v>푸른뫼</v>
      </c>
      <c r="F21" s="118"/>
      <c r="G21" s="127"/>
      <c r="H21" s="136">
        <f>G20*40%</f>
        <v>4000</v>
      </c>
      <c r="I21" s="78" t="s">
        <v>73</v>
      </c>
      <c r="J21" s="134"/>
      <c r="K21" s="15"/>
      <c r="L21" s="134"/>
      <c r="M21" s="106" t="str">
        <f t="shared" si="0"/>
        <v/>
      </c>
      <c r="N21" s="15"/>
      <c r="O21" s="37"/>
      <c r="P21" s="38">
        <f t="shared" si="1"/>
        <v>4400</v>
      </c>
      <c r="Q21" s="15"/>
      <c r="R21" s="80" t="str">
        <f t="shared" si="2"/>
        <v>-</v>
      </c>
      <c r="S21" s="80" t="str">
        <f t="shared" ca="1" si="3"/>
        <v>-</v>
      </c>
      <c r="T21" s="54"/>
      <c r="U21" s="81"/>
      <c r="V21" s="20"/>
      <c r="W21" s="82"/>
      <c r="X21" s="54"/>
      <c r="Y21" s="81"/>
      <c r="Z21" s="20"/>
      <c r="AA21" s="20"/>
      <c r="AB21" s="20"/>
      <c r="AC21" s="20"/>
      <c r="AD21" s="82"/>
      <c r="AE21" s="54"/>
      <c r="AF21" s="81"/>
      <c r="AG21" s="20"/>
      <c r="AH21" s="20"/>
      <c r="AI21" s="83"/>
      <c r="AJ21" s="20"/>
      <c r="AK21" s="82"/>
      <c r="AL21" s="54"/>
      <c r="AM21" s="54"/>
    </row>
    <row r="22" spans="1:39" s="84" customFormat="1" ht="13.5" customHeight="1">
      <c r="A22" s="2"/>
      <c r="B22" s="77">
        <f t="shared" si="4"/>
        <v>7</v>
      </c>
      <c r="C22" s="117" t="s">
        <v>69</v>
      </c>
      <c r="D22" s="36" t="str">
        <f>D21</f>
        <v>덕수건설</v>
      </c>
      <c r="E22" s="36" t="str">
        <f>E21</f>
        <v>푸른뫼</v>
      </c>
      <c r="F22" s="118"/>
      <c r="G22" s="127"/>
      <c r="H22" s="136">
        <f>(G20*40%)-AD20</f>
        <v>4000</v>
      </c>
      <c r="I22" s="78" t="s">
        <v>74</v>
      </c>
      <c r="J22" s="134"/>
      <c r="K22" s="15"/>
      <c r="L22" s="134"/>
      <c r="M22" s="106" t="str">
        <f t="shared" si="0"/>
        <v/>
      </c>
      <c r="N22" s="15"/>
      <c r="O22" s="37"/>
      <c r="P22" s="38">
        <f t="shared" si="1"/>
        <v>4400</v>
      </c>
      <c r="Q22" s="15"/>
      <c r="R22" s="80" t="str">
        <f t="shared" si="2"/>
        <v>-</v>
      </c>
      <c r="S22" s="80" t="str">
        <f t="shared" ca="1" si="3"/>
        <v>-</v>
      </c>
      <c r="T22" s="54"/>
      <c r="U22" s="81"/>
      <c r="V22" s="20"/>
      <c r="W22" s="82"/>
      <c r="X22" s="54"/>
      <c r="Y22" s="81"/>
      <c r="Z22" s="20"/>
      <c r="AA22" s="20"/>
      <c r="AB22" s="20"/>
      <c r="AC22" s="20"/>
      <c r="AD22" s="82"/>
      <c r="AE22" s="54"/>
      <c r="AF22" s="81"/>
      <c r="AG22" s="20"/>
      <c r="AH22" s="20"/>
      <c r="AI22" s="83"/>
      <c r="AJ22" s="20"/>
      <c r="AK22" s="82"/>
      <c r="AL22" s="54"/>
      <c r="AM22" s="54"/>
    </row>
    <row r="23" spans="1:39" s="84" customFormat="1" ht="13.5" customHeight="1">
      <c r="A23" s="2"/>
      <c r="B23" s="77">
        <f t="shared" si="4"/>
        <v>8</v>
      </c>
      <c r="C23" s="36" t="s">
        <v>69</v>
      </c>
      <c r="D23" s="36" t="s">
        <v>70</v>
      </c>
      <c r="E23" s="64" t="s">
        <v>85</v>
      </c>
      <c r="F23" s="65">
        <v>10000</v>
      </c>
      <c r="G23" s="126">
        <v>10000</v>
      </c>
      <c r="H23" s="136">
        <f>G23*20%</f>
        <v>2000</v>
      </c>
      <c r="I23" s="78" t="s">
        <v>72</v>
      </c>
      <c r="J23" s="133">
        <v>46023</v>
      </c>
      <c r="K23" s="15"/>
      <c r="L23" s="133"/>
      <c r="M23" s="106" t="str">
        <f t="shared" si="0"/>
        <v/>
      </c>
      <c r="N23" s="15"/>
      <c r="O23" s="37"/>
      <c r="P23" s="38">
        <f t="shared" si="1"/>
        <v>2200</v>
      </c>
      <c r="Q23" s="15"/>
      <c r="R23" s="80" t="str">
        <f t="shared" si="2"/>
        <v>-</v>
      </c>
      <c r="S23" s="80" t="str">
        <f t="shared" ca="1" si="3"/>
        <v>-</v>
      </c>
      <c r="T23" s="54"/>
      <c r="U23" s="81"/>
      <c r="V23" s="20"/>
      <c r="W23" s="82"/>
      <c r="X23" s="54"/>
      <c r="Y23" s="81"/>
      <c r="Z23" s="20"/>
      <c r="AA23" s="20"/>
      <c r="AB23" s="20"/>
      <c r="AC23" s="20"/>
      <c r="AD23" s="82"/>
      <c r="AE23" s="54"/>
      <c r="AF23" s="81"/>
      <c r="AG23" s="20"/>
      <c r="AH23" s="20"/>
      <c r="AI23" s="83"/>
      <c r="AJ23" s="20"/>
      <c r="AK23" s="82"/>
      <c r="AL23" s="54"/>
      <c r="AM23" s="54"/>
    </row>
    <row r="24" spans="1:39" s="84" customFormat="1" ht="13.5" customHeight="1">
      <c r="A24" s="2"/>
      <c r="B24" s="77">
        <f t="shared" si="4"/>
        <v>8</v>
      </c>
      <c r="C24" s="117" t="s">
        <v>69</v>
      </c>
      <c r="D24" s="36" t="str">
        <f>D23</f>
        <v>석민이앤씨</v>
      </c>
      <c r="E24" s="36" t="str">
        <f>E23</f>
        <v>동탄역시범한화꿈에그린
프레스티지</v>
      </c>
      <c r="F24" s="118"/>
      <c r="G24" s="127"/>
      <c r="H24" s="136">
        <f>G23*40%</f>
        <v>4000</v>
      </c>
      <c r="I24" s="78" t="s">
        <v>73</v>
      </c>
      <c r="J24" s="134"/>
      <c r="K24" s="15"/>
      <c r="L24" s="134"/>
      <c r="M24" s="106" t="str">
        <f t="shared" si="0"/>
        <v/>
      </c>
      <c r="N24" s="15"/>
      <c r="O24" s="37"/>
      <c r="P24" s="38">
        <f t="shared" si="1"/>
        <v>4400</v>
      </c>
      <c r="Q24" s="15"/>
      <c r="R24" s="80" t="str">
        <f t="shared" si="2"/>
        <v>-</v>
      </c>
      <c r="S24" s="80" t="str">
        <f t="shared" ca="1" si="3"/>
        <v>-</v>
      </c>
      <c r="T24" s="54"/>
      <c r="U24" s="81"/>
      <c r="V24" s="20"/>
      <c r="W24" s="82"/>
      <c r="X24" s="54"/>
      <c r="Y24" s="81"/>
      <c r="Z24" s="20"/>
      <c r="AA24" s="20"/>
      <c r="AB24" s="20"/>
      <c r="AC24" s="20"/>
      <c r="AD24" s="82"/>
      <c r="AE24" s="54"/>
      <c r="AF24" s="81"/>
      <c r="AG24" s="20"/>
      <c r="AH24" s="20"/>
      <c r="AI24" s="83"/>
      <c r="AJ24" s="20"/>
      <c r="AK24" s="82"/>
      <c r="AL24" s="54"/>
      <c r="AM24" s="54"/>
    </row>
    <row r="25" spans="1:39" s="84" customFormat="1" ht="13.5" customHeight="1">
      <c r="A25" s="2"/>
      <c r="B25" s="77">
        <f t="shared" si="4"/>
        <v>8</v>
      </c>
      <c r="C25" s="117" t="s">
        <v>69</v>
      </c>
      <c r="D25" s="36" t="str">
        <f>D24</f>
        <v>석민이앤씨</v>
      </c>
      <c r="E25" s="36" t="str">
        <f>E24</f>
        <v>동탄역시범한화꿈에그린
프레스티지</v>
      </c>
      <c r="F25" s="118"/>
      <c r="G25" s="127"/>
      <c r="H25" s="136">
        <f>(G23*40%)-AD23</f>
        <v>4000</v>
      </c>
      <c r="I25" s="78" t="s">
        <v>74</v>
      </c>
      <c r="J25" s="134"/>
      <c r="K25" s="15"/>
      <c r="L25" s="134"/>
      <c r="M25" s="106" t="str">
        <f t="shared" si="0"/>
        <v/>
      </c>
      <c r="N25" s="15"/>
      <c r="O25" s="37"/>
      <c r="P25" s="38">
        <f t="shared" si="1"/>
        <v>4400</v>
      </c>
      <c r="Q25" s="15"/>
      <c r="R25" s="80" t="str">
        <f t="shared" si="2"/>
        <v>-</v>
      </c>
      <c r="S25" s="80" t="str">
        <f t="shared" ca="1" si="3"/>
        <v>-</v>
      </c>
      <c r="T25" s="54"/>
      <c r="U25" s="81"/>
      <c r="V25" s="20"/>
      <c r="W25" s="82"/>
      <c r="X25" s="54"/>
      <c r="Y25" s="81"/>
      <c r="Z25" s="20"/>
      <c r="AA25" s="20"/>
      <c r="AB25" s="20"/>
      <c r="AC25" s="20"/>
      <c r="AD25" s="82"/>
      <c r="AE25" s="54"/>
      <c r="AF25" s="81"/>
      <c r="AG25" s="20"/>
      <c r="AH25" s="20"/>
      <c r="AI25" s="83"/>
      <c r="AJ25" s="20"/>
      <c r="AK25" s="82"/>
      <c r="AL25" s="54"/>
      <c r="AM25" s="54"/>
    </row>
    <row r="26" spans="1:39" s="84" customFormat="1" ht="13.5" customHeight="1">
      <c r="A26" s="2"/>
      <c r="B26" s="77">
        <f t="shared" si="4"/>
        <v>9</v>
      </c>
      <c r="C26" s="36" t="s">
        <v>69</v>
      </c>
      <c r="D26" s="36" t="s">
        <v>86</v>
      </c>
      <c r="E26" s="36" t="s">
        <v>87</v>
      </c>
      <c r="F26" s="65">
        <v>10000</v>
      </c>
      <c r="G26" s="126">
        <v>10000</v>
      </c>
      <c r="H26" s="136">
        <f>G26*20%</f>
        <v>2000</v>
      </c>
      <c r="I26" s="78" t="s">
        <v>72</v>
      </c>
      <c r="J26" s="133">
        <v>46023</v>
      </c>
      <c r="K26" s="15"/>
      <c r="L26" s="133"/>
      <c r="M26" s="106" t="str">
        <f t="shared" si="0"/>
        <v/>
      </c>
      <c r="N26" s="15"/>
      <c r="O26" s="37"/>
      <c r="P26" s="38">
        <f t="shared" si="1"/>
        <v>2200</v>
      </c>
      <c r="Q26" s="15"/>
      <c r="R26" s="80" t="str">
        <f t="shared" si="2"/>
        <v>-</v>
      </c>
      <c r="S26" s="80" t="str">
        <f t="shared" ca="1" si="3"/>
        <v>-</v>
      </c>
      <c r="T26" s="54"/>
      <c r="U26" s="81"/>
      <c r="V26" s="20"/>
      <c r="W26" s="82"/>
      <c r="X26" s="54"/>
      <c r="Y26" s="81"/>
      <c r="Z26" s="20"/>
      <c r="AA26" s="20"/>
      <c r="AB26" s="20"/>
      <c r="AC26" s="20"/>
      <c r="AD26" s="82"/>
      <c r="AE26" s="54"/>
      <c r="AF26" s="81"/>
      <c r="AG26" s="20"/>
      <c r="AH26" s="20"/>
      <c r="AI26" s="83"/>
      <c r="AJ26" s="20"/>
      <c r="AK26" s="82"/>
      <c r="AL26" s="54"/>
      <c r="AM26" s="54"/>
    </row>
    <row r="27" spans="1:39" s="84" customFormat="1" ht="13.5" customHeight="1">
      <c r="A27" s="2"/>
      <c r="B27" s="77">
        <f t="shared" si="4"/>
        <v>9</v>
      </c>
      <c r="C27" s="117" t="s">
        <v>69</v>
      </c>
      <c r="D27" s="36" t="str">
        <f>D26</f>
        <v>색채산업개발</v>
      </c>
      <c r="E27" s="36" t="str">
        <f>E26</f>
        <v>토당금강KCC</v>
      </c>
      <c r="F27" s="118"/>
      <c r="G27" s="127"/>
      <c r="H27" s="136">
        <f>G26*40%</f>
        <v>4000</v>
      </c>
      <c r="I27" s="78" t="s">
        <v>73</v>
      </c>
      <c r="J27" s="134"/>
      <c r="K27" s="15"/>
      <c r="L27" s="134"/>
      <c r="M27" s="106" t="str">
        <f t="shared" si="0"/>
        <v/>
      </c>
      <c r="N27" s="15"/>
      <c r="O27" s="37"/>
      <c r="P27" s="38">
        <f t="shared" si="1"/>
        <v>4400</v>
      </c>
      <c r="Q27" s="15"/>
      <c r="R27" s="80" t="str">
        <f t="shared" si="2"/>
        <v>-</v>
      </c>
      <c r="S27" s="80" t="str">
        <f t="shared" ca="1" si="3"/>
        <v>-</v>
      </c>
      <c r="T27" s="54"/>
      <c r="U27" s="81"/>
      <c r="V27" s="20"/>
      <c r="W27" s="82"/>
      <c r="X27" s="54"/>
      <c r="Y27" s="81"/>
      <c r="Z27" s="20"/>
      <c r="AA27" s="20"/>
      <c r="AB27" s="20"/>
      <c r="AC27" s="20"/>
      <c r="AD27" s="82"/>
      <c r="AE27" s="54"/>
      <c r="AF27" s="81"/>
      <c r="AG27" s="20"/>
      <c r="AH27" s="20"/>
      <c r="AI27" s="83"/>
      <c r="AJ27" s="20"/>
      <c r="AK27" s="82"/>
      <c r="AL27" s="54"/>
      <c r="AM27" s="54"/>
    </row>
    <row r="28" spans="1:39" s="84" customFormat="1" ht="13.5" customHeight="1">
      <c r="A28" s="2"/>
      <c r="B28" s="85">
        <f t="shared" si="4"/>
        <v>9</v>
      </c>
      <c r="C28" s="120" t="s">
        <v>69</v>
      </c>
      <c r="D28" s="87" t="str">
        <f>D27</f>
        <v>색채산업개발</v>
      </c>
      <c r="E28" s="87" t="str">
        <f>E27</f>
        <v>토당금강KCC</v>
      </c>
      <c r="F28" s="121"/>
      <c r="G28" s="128"/>
      <c r="H28" s="137">
        <f>(G26*40%)-AD26</f>
        <v>4000</v>
      </c>
      <c r="I28" s="88" t="s">
        <v>74</v>
      </c>
      <c r="J28" s="135"/>
      <c r="K28" s="89"/>
      <c r="L28" s="135"/>
      <c r="M28" s="109" t="str">
        <f t="shared" si="0"/>
        <v/>
      </c>
      <c r="N28" s="89"/>
      <c r="O28" s="86"/>
      <c r="P28" s="90">
        <f t="shared" si="1"/>
        <v>4400</v>
      </c>
      <c r="Q28" s="89"/>
      <c r="R28" s="91" t="str">
        <f t="shared" si="2"/>
        <v>-</v>
      </c>
      <c r="S28" s="91" t="str">
        <f t="shared" ca="1" si="3"/>
        <v>-</v>
      </c>
      <c r="T28" s="54"/>
      <c r="U28" s="92"/>
      <c r="V28" s="93"/>
      <c r="W28" s="94"/>
      <c r="X28" s="54"/>
      <c r="Y28" s="92"/>
      <c r="Z28" s="93"/>
      <c r="AA28" s="93"/>
      <c r="AB28" s="93"/>
      <c r="AC28" s="93"/>
      <c r="AD28" s="94"/>
      <c r="AE28" s="54"/>
      <c r="AF28" s="92"/>
      <c r="AG28" s="93"/>
      <c r="AH28" s="93"/>
      <c r="AI28" s="95"/>
      <c r="AJ28" s="93"/>
      <c r="AK28" s="94"/>
      <c r="AL28" s="54"/>
      <c r="AM28" s="54"/>
    </row>
    <row r="29" spans="1:39" ht="16.5" customHeight="1">
      <c r="M29" s="104" t="str">
        <f t="shared" si="0"/>
        <v/>
      </c>
      <c r="R29" s="96" t="str">
        <f t="shared" si="2"/>
        <v>-</v>
      </c>
      <c r="S29" s="96" t="str">
        <f t="shared" ca="1" si="3"/>
        <v>-</v>
      </c>
      <c r="T29" s="54"/>
      <c r="X29" s="54"/>
      <c r="AE29" s="54"/>
      <c r="AL29" s="54"/>
      <c r="AM29" s="54"/>
    </row>
    <row r="30" spans="1:39" ht="16.5" customHeight="1">
      <c r="M30" s="104" t="str">
        <f t="shared" si="0"/>
        <v/>
      </c>
      <c r="R30" s="96" t="str">
        <f t="shared" si="2"/>
        <v>-</v>
      </c>
      <c r="S30" s="96" t="str">
        <f t="shared" ca="1" si="3"/>
        <v>-</v>
      </c>
      <c r="T30" s="54"/>
      <c r="X30" s="54"/>
      <c r="AE30" s="54"/>
      <c r="AL30" s="54"/>
      <c r="AM30" s="54"/>
    </row>
    <row r="31" spans="1:39" ht="16.5" customHeight="1">
      <c r="M31" s="104" t="str">
        <f t="shared" si="0"/>
        <v/>
      </c>
      <c r="R31" s="96" t="str">
        <f t="shared" si="2"/>
        <v>-</v>
      </c>
      <c r="S31" s="96" t="str">
        <f t="shared" ca="1" si="3"/>
        <v>-</v>
      </c>
      <c r="T31" s="54"/>
      <c r="X31" s="54"/>
      <c r="AE31" s="54"/>
      <c r="AL31" s="54"/>
      <c r="AM31" s="54"/>
    </row>
    <row r="32" spans="1:39" ht="16.5" customHeight="1">
      <c r="M32" s="104" t="str">
        <f t="shared" si="0"/>
        <v/>
      </c>
      <c r="R32" s="96" t="str">
        <f t="shared" si="2"/>
        <v>-</v>
      </c>
      <c r="S32" s="96" t="str">
        <f t="shared" ca="1" si="3"/>
        <v>-</v>
      </c>
      <c r="T32" s="96"/>
      <c r="AE32" s="54"/>
    </row>
    <row r="33" spans="13:20" ht="16.5" customHeight="1">
      <c r="M33" s="104" t="str">
        <f t="shared" si="0"/>
        <v/>
      </c>
      <c r="R33" s="96" t="str">
        <f t="shared" si="2"/>
        <v>-</v>
      </c>
      <c r="S33" s="96" t="str">
        <f t="shared" ca="1" si="3"/>
        <v>-</v>
      </c>
      <c r="T33" s="96"/>
    </row>
    <row r="34" spans="13:20" ht="16.5" customHeight="1">
      <c r="M34" s="104" t="str">
        <f t="shared" si="0"/>
        <v/>
      </c>
      <c r="R34" s="96" t="str">
        <f t="shared" si="2"/>
        <v>-</v>
      </c>
      <c r="S34" s="96" t="str">
        <f t="shared" ref="S34:S65" ca="1" si="6">IF(AND(P34&lt;&gt;"", P34&gt;0, M34&lt;&gt;"", TODAY()&gt;M34), "확인요망", "-")</f>
        <v>-</v>
      </c>
      <c r="T34" s="96"/>
    </row>
    <row r="35" spans="13:20">
      <c r="M35" s="104" t="str">
        <f t="shared" si="0"/>
        <v/>
      </c>
      <c r="S35" s="47" t="str">
        <f t="shared" ca="1" si="6"/>
        <v>-</v>
      </c>
    </row>
    <row r="36" spans="13:20">
      <c r="M36" s="104" t="str">
        <f t="shared" si="0"/>
        <v/>
      </c>
      <c r="S36" s="47" t="str">
        <f t="shared" ca="1" si="6"/>
        <v>-</v>
      </c>
    </row>
    <row r="37" spans="13:20">
      <c r="M37" s="104" t="str">
        <f t="shared" si="0"/>
        <v/>
      </c>
      <c r="S37" s="47" t="str">
        <f t="shared" ca="1" si="6"/>
        <v>-</v>
      </c>
    </row>
    <row r="38" spans="13:20">
      <c r="M38" s="104" t="str">
        <f t="shared" si="0"/>
        <v/>
      </c>
      <c r="S38" s="47" t="str">
        <f t="shared" ca="1" si="6"/>
        <v>-</v>
      </c>
    </row>
    <row r="39" spans="13:20">
      <c r="M39" s="104" t="str">
        <f t="shared" si="0"/>
        <v/>
      </c>
      <c r="S39" s="47" t="str">
        <f t="shared" ca="1" si="6"/>
        <v>-</v>
      </c>
    </row>
    <row r="40" spans="13:20">
      <c r="M40" s="104" t="str">
        <f t="shared" si="0"/>
        <v/>
      </c>
      <c r="S40" s="47" t="str">
        <f t="shared" ca="1" si="6"/>
        <v>-</v>
      </c>
    </row>
    <row r="41" spans="13:20">
      <c r="M41" s="104" t="str">
        <f t="shared" si="0"/>
        <v/>
      </c>
      <c r="S41" s="47" t="str">
        <f t="shared" ca="1" si="6"/>
        <v>-</v>
      </c>
    </row>
    <row r="42" spans="13:20">
      <c r="M42" s="104" t="str">
        <f t="shared" si="0"/>
        <v/>
      </c>
      <c r="S42" s="47" t="str">
        <f t="shared" ca="1" si="6"/>
        <v>-</v>
      </c>
    </row>
    <row r="43" spans="13:20">
      <c r="M43" s="104" t="str">
        <f t="shared" ref="M43:M65" si="7">IF(L43&lt;&gt;"", L43+30, "")</f>
        <v/>
      </c>
      <c r="S43" s="47" t="str">
        <f t="shared" ca="1" si="6"/>
        <v>-</v>
      </c>
    </row>
    <row r="44" spans="13:20">
      <c r="M44" s="104" t="str">
        <f t="shared" si="7"/>
        <v/>
      </c>
      <c r="S44" s="47" t="str">
        <f t="shared" ca="1" si="6"/>
        <v>-</v>
      </c>
    </row>
    <row r="45" spans="13:20">
      <c r="M45" s="104" t="str">
        <f t="shared" si="7"/>
        <v/>
      </c>
      <c r="S45" s="47" t="str">
        <f t="shared" ca="1" si="6"/>
        <v>-</v>
      </c>
    </row>
    <row r="46" spans="13:20">
      <c r="M46" s="104" t="str">
        <f t="shared" si="7"/>
        <v/>
      </c>
      <c r="S46" s="47" t="str">
        <f t="shared" ca="1" si="6"/>
        <v>-</v>
      </c>
    </row>
    <row r="47" spans="13:20">
      <c r="M47" s="104" t="str">
        <f t="shared" si="7"/>
        <v/>
      </c>
      <c r="S47" s="47" t="str">
        <f t="shared" ca="1" si="6"/>
        <v>-</v>
      </c>
    </row>
    <row r="48" spans="13:20">
      <c r="M48" s="104" t="str">
        <f t="shared" si="7"/>
        <v/>
      </c>
      <c r="S48" s="47" t="str">
        <f t="shared" ca="1" si="6"/>
        <v>-</v>
      </c>
    </row>
    <row r="49" spans="13:19">
      <c r="M49" s="104" t="str">
        <f t="shared" si="7"/>
        <v/>
      </c>
      <c r="S49" s="47" t="str">
        <f t="shared" ca="1" si="6"/>
        <v>-</v>
      </c>
    </row>
    <row r="50" spans="13:19">
      <c r="M50" s="104" t="str">
        <f t="shared" si="7"/>
        <v/>
      </c>
      <c r="S50" s="47" t="str">
        <f t="shared" ca="1" si="6"/>
        <v>-</v>
      </c>
    </row>
    <row r="51" spans="13:19">
      <c r="M51" s="104" t="str">
        <f t="shared" si="7"/>
        <v/>
      </c>
      <c r="S51" s="47" t="str">
        <f t="shared" ca="1" si="6"/>
        <v>-</v>
      </c>
    </row>
    <row r="52" spans="13:19">
      <c r="M52" s="104" t="str">
        <f t="shared" si="7"/>
        <v/>
      </c>
      <c r="S52" s="47" t="str">
        <f t="shared" ca="1" si="6"/>
        <v>-</v>
      </c>
    </row>
    <row r="53" spans="13:19">
      <c r="M53" s="104" t="str">
        <f t="shared" si="7"/>
        <v/>
      </c>
      <c r="S53" s="47" t="str">
        <f t="shared" ca="1" si="6"/>
        <v>-</v>
      </c>
    </row>
    <row r="54" spans="13:19">
      <c r="M54" s="104" t="str">
        <f t="shared" si="7"/>
        <v/>
      </c>
      <c r="S54" s="47" t="str">
        <f t="shared" ca="1" si="6"/>
        <v>-</v>
      </c>
    </row>
    <row r="55" spans="13:19">
      <c r="M55" s="104" t="str">
        <f t="shared" si="7"/>
        <v/>
      </c>
      <c r="S55" s="47" t="str">
        <f t="shared" ca="1" si="6"/>
        <v>-</v>
      </c>
    </row>
    <row r="56" spans="13:19">
      <c r="M56" s="104" t="str">
        <f t="shared" si="7"/>
        <v/>
      </c>
      <c r="S56" s="47" t="str">
        <f t="shared" ca="1" si="6"/>
        <v>-</v>
      </c>
    </row>
    <row r="57" spans="13:19">
      <c r="M57" s="104" t="str">
        <f t="shared" si="7"/>
        <v/>
      </c>
      <c r="S57" s="47" t="str">
        <f t="shared" ca="1" si="6"/>
        <v>-</v>
      </c>
    </row>
    <row r="58" spans="13:19">
      <c r="M58" s="104" t="str">
        <f t="shared" si="7"/>
        <v/>
      </c>
      <c r="S58" s="47" t="str">
        <f t="shared" ca="1" si="6"/>
        <v>-</v>
      </c>
    </row>
    <row r="59" spans="13:19">
      <c r="M59" s="104" t="str">
        <f t="shared" si="7"/>
        <v/>
      </c>
      <c r="S59" s="47" t="str">
        <f t="shared" ca="1" si="6"/>
        <v>-</v>
      </c>
    </row>
    <row r="60" spans="13:19">
      <c r="M60" s="104" t="str">
        <f t="shared" si="7"/>
        <v/>
      </c>
      <c r="S60" s="47" t="str">
        <f t="shared" ca="1" si="6"/>
        <v>-</v>
      </c>
    </row>
    <row r="61" spans="13:19">
      <c r="M61" s="104" t="str">
        <f t="shared" si="7"/>
        <v/>
      </c>
      <c r="S61" s="47" t="str">
        <f t="shared" ca="1" si="6"/>
        <v>-</v>
      </c>
    </row>
    <row r="62" spans="13:19">
      <c r="M62" s="104" t="str">
        <f t="shared" si="7"/>
        <v/>
      </c>
      <c r="S62" s="47" t="str">
        <f t="shared" ca="1" si="6"/>
        <v>-</v>
      </c>
    </row>
    <row r="63" spans="13:19">
      <c r="M63" s="104" t="str">
        <f t="shared" si="7"/>
        <v/>
      </c>
      <c r="S63" s="47" t="str">
        <f t="shared" ca="1" si="6"/>
        <v>-</v>
      </c>
    </row>
    <row r="64" spans="13:19">
      <c r="M64" s="104" t="str">
        <f t="shared" si="7"/>
        <v/>
      </c>
      <c r="S64" s="47" t="str">
        <f t="shared" ca="1" si="6"/>
        <v>-</v>
      </c>
    </row>
    <row r="65" spans="13:19">
      <c r="M65" s="104" t="str">
        <f t="shared" si="7"/>
        <v/>
      </c>
      <c r="S65" s="47" t="str">
        <f t="shared" ca="1" si="6"/>
        <v>-</v>
      </c>
    </row>
    <row r="66" spans="13:19">
      <c r="M66" s="104" t="str">
        <f t="shared" ref="M66:M97" si="8">IF(L66&lt;&gt;"", L66+30, "")</f>
        <v/>
      </c>
      <c r="S66" s="47" t="str">
        <f t="shared" ref="S66:S100" ca="1" si="9">IF(AND(P66&lt;&gt;"", P66&gt;0, M66&lt;&gt;"", TODAY()&gt;M66), "확인요망", "-")</f>
        <v>-</v>
      </c>
    </row>
    <row r="67" spans="13:19">
      <c r="M67" s="104" t="str">
        <f t="shared" si="8"/>
        <v/>
      </c>
      <c r="S67" s="47" t="str">
        <f t="shared" ca="1" si="9"/>
        <v>-</v>
      </c>
    </row>
    <row r="68" spans="13:19">
      <c r="M68" s="104" t="str">
        <f t="shared" si="8"/>
        <v/>
      </c>
      <c r="S68" s="47" t="str">
        <f t="shared" ca="1" si="9"/>
        <v>-</v>
      </c>
    </row>
    <row r="69" spans="13:19">
      <c r="M69" s="104" t="str">
        <f t="shared" si="8"/>
        <v/>
      </c>
      <c r="S69" s="47" t="str">
        <f t="shared" ca="1" si="9"/>
        <v>-</v>
      </c>
    </row>
    <row r="70" spans="13:19">
      <c r="M70" s="104" t="str">
        <f t="shared" si="8"/>
        <v/>
      </c>
      <c r="S70" s="47" t="str">
        <f t="shared" ca="1" si="9"/>
        <v>-</v>
      </c>
    </row>
    <row r="71" spans="13:19">
      <c r="M71" s="104" t="str">
        <f t="shared" si="8"/>
        <v/>
      </c>
      <c r="S71" s="47" t="str">
        <f t="shared" ca="1" si="9"/>
        <v>-</v>
      </c>
    </row>
    <row r="72" spans="13:19">
      <c r="M72" s="104" t="str">
        <f t="shared" si="8"/>
        <v/>
      </c>
      <c r="S72" s="47" t="str">
        <f t="shared" ca="1" si="9"/>
        <v>-</v>
      </c>
    </row>
    <row r="73" spans="13:19">
      <c r="M73" s="104" t="str">
        <f t="shared" si="8"/>
        <v/>
      </c>
      <c r="S73" s="47" t="str">
        <f t="shared" ca="1" si="9"/>
        <v>-</v>
      </c>
    </row>
    <row r="74" spans="13:19">
      <c r="M74" s="104" t="str">
        <f t="shared" si="8"/>
        <v/>
      </c>
      <c r="S74" s="47" t="str">
        <f t="shared" ca="1" si="9"/>
        <v>-</v>
      </c>
    </row>
    <row r="75" spans="13:19">
      <c r="M75" s="104" t="str">
        <f t="shared" si="8"/>
        <v/>
      </c>
      <c r="S75" s="47" t="str">
        <f t="shared" ca="1" si="9"/>
        <v>-</v>
      </c>
    </row>
    <row r="76" spans="13:19">
      <c r="M76" s="104" t="str">
        <f t="shared" si="8"/>
        <v/>
      </c>
      <c r="S76" s="47" t="str">
        <f t="shared" ca="1" si="9"/>
        <v>-</v>
      </c>
    </row>
    <row r="77" spans="13:19">
      <c r="M77" s="104" t="str">
        <f t="shared" si="8"/>
        <v/>
      </c>
      <c r="S77" s="47" t="str">
        <f t="shared" ca="1" si="9"/>
        <v>-</v>
      </c>
    </row>
    <row r="78" spans="13:19">
      <c r="M78" s="104" t="str">
        <f t="shared" si="8"/>
        <v/>
      </c>
      <c r="S78" s="47" t="str">
        <f t="shared" ca="1" si="9"/>
        <v>-</v>
      </c>
    </row>
    <row r="79" spans="13:19">
      <c r="M79" s="104" t="str">
        <f t="shared" si="8"/>
        <v/>
      </c>
      <c r="S79" s="47" t="str">
        <f t="shared" ca="1" si="9"/>
        <v>-</v>
      </c>
    </row>
    <row r="80" spans="13:19">
      <c r="M80" s="104" t="str">
        <f t="shared" si="8"/>
        <v/>
      </c>
      <c r="S80" s="47" t="str">
        <f t="shared" ca="1" si="9"/>
        <v>-</v>
      </c>
    </row>
    <row r="81" spans="13:19">
      <c r="M81" s="104" t="str">
        <f t="shared" si="8"/>
        <v/>
      </c>
      <c r="S81" s="47" t="str">
        <f t="shared" ca="1" si="9"/>
        <v>-</v>
      </c>
    </row>
    <row r="82" spans="13:19">
      <c r="M82" s="104" t="str">
        <f t="shared" si="8"/>
        <v/>
      </c>
      <c r="S82" s="47" t="str">
        <f t="shared" ca="1" si="9"/>
        <v>-</v>
      </c>
    </row>
    <row r="83" spans="13:19">
      <c r="M83" s="104" t="str">
        <f t="shared" si="8"/>
        <v/>
      </c>
      <c r="S83" s="47" t="str">
        <f t="shared" ca="1" si="9"/>
        <v>-</v>
      </c>
    </row>
    <row r="84" spans="13:19">
      <c r="M84" s="104" t="str">
        <f t="shared" si="8"/>
        <v/>
      </c>
      <c r="S84" s="47" t="str">
        <f t="shared" ca="1" si="9"/>
        <v>-</v>
      </c>
    </row>
    <row r="85" spans="13:19">
      <c r="M85" s="104" t="str">
        <f t="shared" si="8"/>
        <v/>
      </c>
      <c r="S85" s="47" t="str">
        <f t="shared" ca="1" si="9"/>
        <v>-</v>
      </c>
    </row>
    <row r="86" spans="13:19">
      <c r="M86" s="104" t="str">
        <f t="shared" si="8"/>
        <v/>
      </c>
      <c r="S86" s="47" t="str">
        <f t="shared" ca="1" si="9"/>
        <v>-</v>
      </c>
    </row>
    <row r="87" spans="13:19">
      <c r="M87" s="104" t="str">
        <f t="shared" si="8"/>
        <v/>
      </c>
      <c r="S87" s="47" t="str">
        <f t="shared" ca="1" si="9"/>
        <v>-</v>
      </c>
    </row>
    <row r="88" spans="13:19">
      <c r="M88" s="104" t="str">
        <f t="shared" si="8"/>
        <v/>
      </c>
      <c r="S88" s="47" t="str">
        <f t="shared" ca="1" si="9"/>
        <v>-</v>
      </c>
    </row>
    <row r="89" spans="13:19">
      <c r="M89" s="104" t="str">
        <f t="shared" si="8"/>
        <v/>
      </c>
      <c r="S89" s="47" t="str">
        <f t="shared" ca="1" si="9"/>
        <v>-</v>
      </c>
    </row>
    <row r="90" spans="13:19">
      <c r="M90" s="104" t="str">
        <f t="shared" si="8"/>
        <v/>
      </c>
      <c r="S90" s="47" t="str">
        <f t="shared" ca="1" si="9"/>
        <v>-</v>
      </c>
    </row>
    <row r="91" spans="13:19">
      <c r="M91" s="104" t="str">
        <f t="shared" si="8"/>
        <v/>
      </c>
      <c r="S91" s="47" t="str">
        <f t="shared" ca="1" si="9"/>
        <v>-</v>
      </c>
    </row>
    <row r="92" spans="13:19">
      <c r="M92" s="104" t="str">
        <f t="shared" si="8"/>
        <v/>
      </c>
      <c r="S92" s="47" t="str">
        <f t="shared" ca="1" si="9"/>
        <v>-</v>
      </c>
    </row>
    <row r="93" spans="13:19">
      <c r="M93" s="104" t="str">
        <f t="shared" si="8"/>
        <v/>
      </c>
      <c r="S93" s="47" t="str">
        <f t="shared" ca="1" si="9"/>
        <v>-</v>
      </c>
    </row>
    <row r="94" spans="13:19">
      <c r="M94" s="104" t="str">
        <f t="shared" si="8"/>
        <v/>
      </c>
      <c r="S94" s="47" t="str">
        <f t="shared" ca="1" si="9"/>
        <v>-</v>
      </c>
    </row>
    <row r="95" spans="13:19">
      <c r="M95" s="104" t="str">
        <f t="shared" si="8"/>
        <v/>
      </c>
      <c r="S95" s="47" t="str">
        <f t="shared" ca="1" si="9"/>
        <v>-</v>
      </c>
    </row>
    <row r="96" spans="13:19">
      <c r="M96" s="104" t="str">
        <f t="shared" si="8"/>
        <v/>
      </c>
      <c r="S96" s="47" t="str">
        <f t="shared" ca="1" si="9"/>
        <v>-</v>
      </c>
    </row>
    <row r="97" spans="13:19">
      <c r="M97" s="104" t="str">
        <f t="shared" si="8"/>
        <v/>
      </c>
      <c r="S97" s="47" t="str">
        <f t="shared" ca="1" si="9"/>
        <v>-</v>
      </c>
    </row>
    <row r="98" spans="13:19">
      <c r="M98" s="104" t="str">
        <f t="shared" ref="M98:M100" si="10">IF(L98&lt;&gt;"", L98+30, "")</f>
        <v/>
      </c>
      <c r="S98" s="47" t="str">
        <f t="shared" ca="1" si="9"/>
        <v>-</v>
      </c>
    </row>
    <row r="99" spans="13:19">
      <c r="M99" s="104" t="str">
        <f t="shared" si="10"/>
        <v/>
      </c>
      <c r="S99" s="47" t="str">
        <f t="shared" ca="1" si="9"/>
        <v>-</v>
      </c>
    </row>
    <row r="100" spans="13:19">
      <c r="M100" s="104" t="str">
        <f t="shared" si="10"/>
        <v/>
      </c>
      <c r="S100" s="47" t="str">
        <f t="shared" ca="1" si="9"/>
        <v>-</v>
      </c>
    </row>
  </sheetData>
  <phoneticPr fontId="11" type="noConversion"/>
  <conditionalFormatting sqref="B2:S5 U2:W31 Y2:AD31 AF2:AK31 M6:S31 B6:L100 U32:AD32 AF32:AM32 M32:T100 U33:AM100">
    <cfRule type="expression" dxfId="3" priority="2">
      <formula>$I2="잔금"</formula>
    </cfRule>
  </conditionalFormatting>
  <conditionalFormatting sqref="D2:E100">
    <cfRule type="expression" dxfId="2" priority="3">
      <formula>AND($I2&lt;&gt;"선금", $I2&lt;&gt;"")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"/>
  <sheetViews>
    <sheetView showGridLines="0" zoomScale="90" zoomScaleNormal="90" workbookViewId="0">
      <selection activeCell="H5" sqref="H5"/>
    </sheetView>
  </sheetViews>
  <sheetFormatPr defaultColWidth="7" defaultRowHeight="13.5"/>
  <cols>
    <col min="1" max="1" width="5.875" style="2" customWidth="1"/>
    <col min="2" max="2" width="13.375" style="2" customWidth="1"/>
    <col min="3" max="4" width="13.25" style="2" customWidth="1"/>
    <col min="5" max="5" width="11.25" style="2" customWidth="1"/>
    <col min="6" max="7" width="13" style="2" customWidth="1"/>
    <col min="8" max="9" width="13" style="5" customWidth="1"/>
    <col min="10" max="10" width="11.5" style="29" customWidth="1"/>
    <col min="11" max="11" width="14" style="29" customWidth="1"/>
    <col min="12" max="12" width="16" style="2" customWidth="1"/>
    <col min="13" max="13" width="14" style="2" customWidth="1"/>
    <col min="14" max="15" width="11.625" style="2" customWidth="1"/>
    <col min="16" max="16" width="13.375" style="2" customWidth="1"/>
    <col min="17" max="22" width="7" style="2" customWidth="1"/>
    <col min="23" max="16384" width="7" style="2"/>
  </cols>
  <sheetData>
    <row r="1" spans="1:16" s="34" customFormat="1" ht="18" customHeight="1">
      <c r="A1" s="30"/>
      <c r="B1" s="31" t="s">
        <v>39</v>
      </c>
      <c r="C1" s="215" t="s">
        <v>27</v>
      </c>
      <c r="D1" s="31" t="s">
        <v>40</v>
      </c>
      <c r="E1" s="31" t="s">
        <v>41</v>
      </c>
      <c r="F1" s="31" t="s">
        <v>88</v>
      </c>
      <c r="G1" s="124" t="s">
        <v>89</v>
      </c>
      <c r="H1" s="31" t="s">
        <v>44</v>
      </c>
      <c r="I1" s="31" t="s">
        <v>45</v>
      </c>
      <c r="J1" s="32" t="s">
        <v>46</v>
      </c>
      <c r="K1" s="32" t="s">
        <v>48</v>
      </c>
      <c r="L1" s="31" t="s">
        <v>49</v>
      </c>
      <c r="M1" s="31" t="s">
        <v>50</v>
      </c>
      <c r="N1" s="31" t="s">
        <v>90</v>
      </c>
      <c r="O1" s="124" t="s">
        <v>91</v>
      </c>
      <c r="P1" s="33" t="s">
        <v>54</v>
      </c>
    </row>
    <row r="2" spans="1:16" ht="15" customHeight="1">
      <c r="B2" s="35">
        <v>1</v>
      </c>
      <c r="C2" s="37" t="s">
        <v>30</v>
      </c>
      <c r="D2" s="36" t="s">
        <v>92</v>
      </c>
      <c r="E2" s="36" t="s">
        <v>93</v>
      </c>
      <c r="F2" s="38">
        <v>35800000</v>
      </c>
      <c r="G2" s="38">
        <v>20650000</v>
      </c>
      <c r="H2" s="39">
        <f>G2</f>
        <v>20650000</v>
      </c>
      <c r="I2" s="78" t="s">
        <v>74</v>
      </c>
      <c r="J2" s="112">
        <v>46023</v>
      </c>
      <c r="K2" s="112">
        <v>46054</v>
      </c>
      <c r="L2" s="106">
        <f>IF(K2&lt;&gt;"", K2+30, "")</f>
        <v>46084</v>
      </c>
      <c r="M2" s="37"/>
      <c r="N2" s="37"/>
      <c r="O2" s="38">
        <f>H2-N2</f>
        <v>20650000</v>
      </c>
      <c r="P2" s="101" t="str">
        <f ca="1">IF(AND(O2&lt;&gt;"", O2&gt;0, L2&lt;&gt;"", TODAY()&gt;L2), "확인요망", "-")</f>
        <v>-</v>
      </c>
    </row>
    <row r="3" spans="1:16" ht="15" customHeight="1">
      <c r="B3" s="40">
        <f>IF(I2="잔금", B2+1, B2)</f>
        <v>2</v>
      </c>
      <c r="C3" s="42" t="s">
        <v>30</v>
      </c>
      <c r="D3" s="41" t="s">
        <v>92</v>
      </c>
      <c r="E3" s="41" t="s">
        <v>93</v>
      </c>
      <c r="F3" s="139">
        <v>35800000</v>
      </c>
      <c r="G3" s="139">
        <v>20650000</v>
      </c>
      <c r="H3" s="43">
        <f>G3*40%</f>
        <v>8260000</v>
      </c>
      <c r="I3" s="147" t="s">
        <v>72</v>
      </c>
      <c r="J3" s="114">
        <v>46023</v>
      </c>
      <c r="K3" s="112">
        <v>46054</v>
      </c>
      <c r="L3" s="107">
        <f>IF(K3&lt;&gt;"", K3+30, "")</f>
        <v>46084</v>
      </c>
      <c r="M3" s="42"/>
      <c r="N3" s="42"/>
      <c r="O3" s="42"/>
      <c r="P3" s="101" t="str">
        <f ca="1">IF(AND(O3&lt;&gt;"", O3&gt;0, L3&lt;&gt;"", TODAY()&gt;L3), "확인요망", "-")</f>
        <v>-</v>
      </c>
    </row>
    <row r="4" spans="1:16" s="140" customFormat="1" ht="15" customHeight="1">
      <c r="B4" s="141">
        <f>IF(I3="잔금", B3+1, B3)</f>
        <v>2</v>
      </c>
      <c r="C4" s="142" t="str">
        <f>C3</f>
        <v>S/N솔루션</v>
      </c>
      <c r="D4" s="142" t="str">
        <f>D3</f>
        <v>여름건설(주)</v>
      </c>
      <c r="E4" s="142" t="str">
        <f>E3</f>
        <v>홍성미성</v>
      </c>
      <c r="F4" s="142"/>
      <c r="G4" s="143"/>
      <c r="H4" s="148">
        <f>G3*60%</f>
        <v>12390000</v>
      </c>
      <c r="I4" s="78" t="s">
        <v>74</v>
      </c>
      <c r="J4" s="144">
        <v>46023</v>
      </c>
      <c r="K4" s="112">
        <v>46054</v>
      </c>
      <c r="L4" s="145">
        <f>IF(K4&lt;&gt;"", K4+30, "")</f>
        <v>46084</v>
      </c>
      <c r="M4" s="142"/>
      <c r="N4" s="142"/>
      <c r="O4" s="142"/>
      <c r="P4" s="146" t="str">
        <f ca="1">IF(AND(O4&lt;&gt;"", O4&gt;0, L4&lt;&gt;"", TODAY()&gt;L4), "확인요망", "-")</f>
        <v>-</v>
      </c>
    </row>
    <row r="5" spans="1:16" ht="16.5" customHeight="1">
      <c r="L5" s="104"/>
      <c r="P5" s="105"/>
    </row>
    <row r="6" spans="1:16" ht="16.5" customHeight="1">
      <c r="L6" s="104" t="str">
        <f t="shared" ref="L6:L37" si="0">IF(K6&lt;&gt;"", K6+30, "")</f>
        <v/>
      </c>
      <c r="P6" s="105" t="str">
        <f t="shared" ref="P6:P37" ca="1" si="1">IF(AND(O6&lt;&gt;"", O6&gt;0, L6&lt;&gt;"", TODAY()&gt;L6), "확인요망", "-")</f>
        <v>-</v>
      </c>
    </row>
    <row r="7" spans="1:16" ht="16.5" customHeight="1">
      <c r="L7" s="104" t="str">
        <f t="shared" si="0"/>
        <v/>
      </c>
      <c r="P7" s="105" t="str">
        <f t="shared" ca="1" si="1"/>
        <v>-</v>
      </c>
    </row>
    <row r="8" spans="1:16" ht="16.5" customHeight="1">
      <c r="L8" s="104" t="str">
        <f t="shared" si="0"/>
        <v/>
      </c>
      <c r="P8" s="105" t="str">
        <f t="shared" ca="1" si="1"/>
        <v>-</v>
      </c>
    </row>
    <row r="9" spans="1:16" ht="16.5" customHeight="1">
      <c r="G9" s="6"/>
      <c r="L9" s="104" t="str">
        <f t="shared" si="0"/>
        <v/>
      </c>
      <c r="P9" s="105" t="str">
        <f t="shared" ca="1" si="1"/>
        <v>-</v>
      </c>
    </row>
    <row r="10" spans="1:16" ht="16.5" customHeight="1">
      <c r="L10" s="104" t="str">
        <f t="shared" si="0"/>
        <v/>
      </c>
      <c r="P10" s="105" t="str">
        <f t="shared" ca="1" si="1"/>
        <v>-</v>
      </c>
    </row>
    <row r="11" spans="1:16" ht="16.5" customHeight="1">
      <c r="L11" s="104" t="str">
        <f t="shared" si="0"/>
        <v/>
      </c>
      <c r="P11" s="105" t="str">
        <f t="shared" ca="1" si="1"/>
        <v>-</v>
      </c>
    </row>
    <row r="12" spans="1:16" ht="16.5" customHeight="1">
      <c r="L12" s="104" t="str">
        <f t="shared" si="0"/>
        <v/>
      </c>
      <c r="P12" s="105" t="str">
        <f t="shared" ca="1" si="1"/>
        <v>-</v>
      </c>
    </row>
    <row r="13" spans="1:16" ht="16.5" customHeight="1">
      <c r="L13" s="104" t="str">
        <f t="shared" si="0"/>
        <v/>
      </c>
      <c r="P13" s="105" t="str">
        <f t="shared" ca="1" si="1"/>
        <v>-</v>
      </c>
    </row>
    <row r="14" spans="1:16" ht="16.5" customHeight="1">
      <c r="L14" s="104" t="str">
        <f t="shared" si="0"/>
        <v/>
      </c>
      <c r="P14" s="105" t="str">
        <f t="shared" ca="1" si="1"/>
        <v>-</v>
      </c>
    </row>
    <row r="15" spans="1:16" ht="16.5" customHeight="1">
      <c r="L15" s="104" t="str">
        <f t="shared" si="0"/>
        <v/>
      </c>
      <c r="P15" s="105" t="str">
        <f t="shared" ca="1" si="1"/>
        <v>-</v>
      </c>
    </row>
    <row r="16" spans="1:16" ht="16.5" customHeight="1">
      <c r="L16" s="104" t="str">
        <f t="shared" si="0"/>
        <v/>
      </c>
      <c r="P16" s="105" t="str">
        <f t="shared" ca="1" si="1"/>
        <v>-</v>
      </c>
    </row>
    <row r="17" spans="12:16" ht="16.5" customHeight="1">
      <c r="L17" s="104" t="str">
        <f t="shared" si="0"/>
        <v/>
      </c>
      <c r="P17" s="105" t="str">
        <f t="shared" ca="1" si="1"/>
        <v>-</v>
      </c>
    </row>
    <row r="18" spans="12:16" ht="16.5" customHeight="1">
      <c r="L18" s="104" t="str">
        <f t="shared" si="0"/>
        <v/>
      </c>
      <c r="P18" s="105" t="str">
        <f t="shared" ca="1" si="1"/>
        <v>-</v>
      </c>
    </row>
    <row r="19" spans="12:16" ht="16.5" customHeight="1">
      <c r="L19" s="104" t="str">
        <f t="shared" si="0"/>
        <v/>
      </c>
      <c r="P19" s="105" t="str">
        <f t="shared" ca="1" si="1"/>
        <v>-</v>
      </c>
    </row>
    <row r="20" spans="12:16" ht="16.5" customHeight="1">
      <c r="L20" s="104" t="str">
        <f t="shared" si="0"/>
        <v/>
      </c>
      <c r="P20" s="105" t="str">
        <f t="shared" ca="1" si="1"/>
        <v>-</v>
      </c>
    </row>
    <row r="21" spans="12:16" ht="16.5" customHeight="1">
      <c r="L21" s="104" t="str">
        <f t="shared" si="0"/>
        <v/>
      </c>
      <c r="P21" s="105" t="str">
        <f t="shared" ca="1" si="1"/>
        <v>-</v>
      </c>
    </row>
    <row r="22" spans="12:16" ht="16.5" customHeight="1">
      <c r="L22" s="104" t="str">
        <f t="shared" si="0"/>
        <v/>
      </c>
      <c r="P22" s="105" t="str">
        <f t="shared" ca="1" si="1"/>
        <v>-</v>
      </c>
    </row>
    <row r="23" spans="12:16" ht="16.5" customHeight="1">
      <c r="L23" s="104" t="str">
        <f t="shared" si="0"/>
        <v/>
      </c>
      <c r="P23" s="105" t="str">
        <f t="shared" ca="1" si="1"/>
        <v>-</v>
      </c>
    </row>
    <row r="24" spans="12:16" ht="16.5" customHeight="1">
      <c r="L24" s="104" t="str">
        <f t="shared" si="0"/>
        <v/>
      </c>
      <c r="P24" s="105" t="str">
        <f t="shared" ca="1" si="1"/>
        <v>-</v>
      </c>
    </row>
    <row r="25" spans="12:16" ht="16.5" customHeight="1">
      <c r="L25" s="104" t="str">
        <f t="shared" si="0"/>
        <v/>
      </c>
      <c r="P25" s="105" t="str">
        <f t="shared" ca="1" si="1"/>
        <v>-</v>
      </c>
    </row>
    <row r="26" spans="12:16" ht="16.5" customHeight="1">
      <c r="L26" s="104" t="str">
        <f t="shared" si="0"/>
        <v/>
      </c>
      <c r="P26" s="105" t="str">
        <f t="shared" ca="1" si="1"/>
        <v>-</v>
      </c>
    </row>
    <row r="27" spans="12:16" ht="16.5" customHeight="1">
      <c r="L27" s="104" t="str">
        <f t="shared" si="0"/>
        <v/>
      </c>
      <c r="P27" s="105" t="str">
        <f t="shared" ca="1" si="1"/>
        <v>-</v>
      </c>
    </row>
    <row r="28" spans="12:16" ht="16.5" customHeight="1">
      <c r="L28" s="104" t="str">
        <f t="shared" si="0"/>
        <v/>
      </c>
      <c r="P28" s="105" t="str">
        <f t="shared" ca="1" si="1"/>
        <v>-</v>
      </c>
    </row>
    <row r="29" spans="12:16" ht="16.5" customHeight="1">
      <c r="L29" s="104" t="str">
        <f t="shared" si="0"/>
        <v/>
      </c>
      <c r="P29" s="105" t="str">
        <f t="shared" ca="1" si="1"/>
        <v>-</v>
      </c>
    </row>
    <row r="30" spans="12:16" ht="16.5" customHeight="1">
      <c r="L30" s="104" t="str">
        <f t="shared" si="0"/>
        <v/>
      </c>
      <c r="P30" s="105" t="str">
        <f t="shared" ca="1" si="1"/>
        <v>-</v>
      </c>
    </row>
    <row r="31" spans="12:16" ht="16.5" customHeight="1">
      <c r="L31" s="104" t="str">
        <f t="shared" si="0"/>
        <v/>
      </c>
      <c r="P31" s="105" t="str">
        <f t="shared" ca="1" si="1"/>
        <v>-</v>
      </c>
    </row>
    <row r="32" spans="12:16" ht="16.5" customHeight="1">
      <c r="L32" s="104" t="str">
        <f t="shared" si="0"/>
        <v/>
      </c>
      <c r="P32" s="105" t="str">
        <f t="shared" ca="1" si="1"/>
        <v>-</v>
      </c>
    </row>
    <row r="33" spans="12:16" ht="16.5" customHeight="1">
      <c r="L33" s="104" t="str">
        <f t="shared" si="0"/>
        <v/>
      </c>
      <c r="P33" s="105" t="str">
        <f t="shared" ca="1" si="1"/>
        <v>-</v>
      </c>
    </row>
    <row r="34" spans="12:16" ht="16.5" customHeight="1">
      <c r="L34" s="104" t="str">
        <f t="shared" si="0"/>
        <v/>
      </c>
      <c r="P34" s="105" t="str">
        <f t="shared" ca="1" si="1"/>
        <v>-</v>
      </c>
    </row>
    <row r="35" spans="12:16" ht="16.5" customHeight="1">
      <c r="L35" s="104" t="str">
        <f t="shared" si="0"/>
        <v/>
      </c>
      <c r="P35" s="105" t="str">
        <f t="shared" ca="1" si="1"/>
        <v>-</v>
      </c>
    </row>
    <row r="36" spans="12:16" ht="16.5" customHeight="1">
      <c r="L36" s="104" t="str">
        <f t="shared" si="0"/>
        <v/>
      </c>
      <c r="P36" s="105" t="str">
        <f t="shared" ca="1" si="1"/>
        <v>-</v>
      </c>
    </row>
    <row r="37" spans="12:16" ht="16.5" customHeight="1">
      <c r="L37" s="104" t="str">
        <f t="shared" si="0"/>
        <v/>
      </c>
      <c r="P37" s="105" t="str">
        <f t="shared" ca="1" si="1"/>
        <v>-</v>
      </c>
    </row>
    <row r="38" spans="12:16" ht="16.5" customHeight="1">
      <c r="L38" s="104" t="str">
        <f t="shared" ref="L38:L69" si="2">IF(K38&lt;&gt;"", K38+30, "")</f>
        <v/>
      </c>
      <c r="P38" s="105" t="str">
        <f t="shared" ref="P38:P69" ca="1" si="3">IF(AND(O38&lt;&gt;"", O38&gt;0, L38&lt;&gt;"", TODAY()&gt;L38), "확인요망", "-")</f>
        <v>-</v>
      </c>
    </row>
    <row r="39" spans="12:16" ht="16.5" customHeight="1">
      <c r="L39" s="104" t="str">
        <f t="shared" si="2"/>
        <v/>
      </c>
      <c r="P39" s="105" t="str">
        <f t="shared" ca="1" si="3"/>
        <v>-</v>
      </c>
    </row>
    <row r="40" spans="12:16" ht="16.5" customHeight="1">
      <c r="L40" s="104" t="str">
        <f t="shared" si="2"/>
        <v/>
      </c>
      <c r="P40" s="105" t="str">
        <f t="shared" ca="1" si="3"/>
        <v>-</v>
      </c>
    </row>
    <row r="41" spans="12:16" ht="16.5" customHeight="1">
      <c r="L41" s="104" t="str">
        <f t="shared" si="2"/>
        <v/>
      </c>
      <c r="P41" s="105" t="str">
        <f t="shared" ca="1" si="3"/>
        <v>-</v>
      </c>
    </row>
    <row r="42" spans="12:16" ht="16.5" customHeight="1">
      <c r="L42" s="104" t="str">
        <f t="shared" si="2"/>
        <v/>
      </c>
      <c r="P42" s="105" t="str">
        <f t="shared" ca="1" si="3"/>
        <v>-</v>
      </c>
    </row>
    <row r="43" spans="12:16" ht="16.5" customHeight="1">
      <c r="L43" s="104" t="str">
        <f t="shared" si="2"/>
        <v/>
      </c>
      <c r="P43" s="105" t="str">
        <f t="shared" ca="1" si="3"/>
        <v>-</v>
      </c>
    </row>
    <row r="44" spans="12:16" ht="16.5" customHeight="1">
      <c r="L44" s="104" t="str">
        <f t="shared" si="2"/>
        <v/>
      </c>
      <c r="P44" s="105" t="str">
        <f t="shared" ca="1" si="3"/>
        <v>-</v>
      </c>
    </row>
    <row r="45" spans="12:16" ht="16.5" customHeight="1">
      <c r="L45" s="104" t="str">
        <f t="shared" si="2"/>
        <v/>
      </c>
      <c r="P45" s="105" t="str">
        <f t="shared" ca="1" si="3"/>
        <v>-</v>
      </c>
    </row>
    <row r="46" spans="12:16" ht="16.5" customHeight="1">
      <c r="L46" s="104" t="str">
        <f t="shared" si="2"/>
        <v/>
      </c>
      <c r="P46" s="105" t="str">
        <f t="shared" ca="1" si="3"/>
        <v>-</v>
      </c>
    </row>
    <row r="47" spans="12:16" ht="16.5" customHeight="1">
      <c r="L47" s="104" t="str">
        <f t="shared" si="2"/>
        <v/>
      </c>
      <c r="P47" s="105" t="str">
        <f t="shared" ca="1" si="3"/>
        <v>-</v>
      </c>
    </row>
    <row r="48" spans="12:16" ht="16.5" customHeight="1">
      <c r="L48" s="104" t="str">
        <f t="shared" si="2"/>
        <v/>
      </c>
      <c r="P48" s="105" t="str">
        <f t="shared" ca="1" si="3"/>
        <v>-</v>
      </c>
    </row>
    <row r="49" spans="12:16" ht="16.5" customHeight="1">
      <c r="L49" s="104" t="str">
        <f t="shared" si="2"/>
        <v/>
      </c>
      <c r="P49" s="105" t="str">
        <f t="shared" ca="1" si="3"/>
        <v>-</v>
      </c>
    </row>
    <row r="50" spans="12:16" ht="16.5" customHeight="1">
      <c r="L50" s="104" t="str">
        <f t="shared" si="2"/>
        <v/>
      </c>
      <c r="P50" s="105" t="str">
        <f t="shared" ca="1" si="3"/>
        <v>-</v>
      </c>
    </row>
    <row r="51" spans="12:16" ht="16.5" customHeight="1">
      <c r="L51" s="104" t="str">
        <f t="shared" si="2"/>
        <v/>
      </c>
      <c r="P51" s="105" t="str">
        <f t="shared" ca="1" si="3"/>
        <v>-</v>
      </c>
    </row>
    <row r="52" spans="12:16" ht="16.5" customHeight="1">
      <c r="L52" s="104" t="str">
        <f t="shared" si="2"/>
        <v/>
      </c>
      <c r="P52" s="105" t="str">
        <f t="shared" ca="1" si="3"/>
        <v>-</v>
      </c>
    </row>
    <row r="53" spans="12:16" ht="16.5" customHeight="1">
      <c r="L53" s="104" t="str">
        <f t="shared" si="2"/>
        <v/>
      </c>
      <c r="P53" s="105" t="str">
        <f t="shared" ca="1" si="3"/>
        <v>-</v>
      </c>
    </row>
    <row r="54" spans="12:16" ht="16.5" customHeight="1">
      <c r="L54" s="104" t="str">
        <f t="shared" si="2"/>
        <v/>
      </c>
      <c r="P54" s="105" t="str">
        <f t="shared" ca="1" si="3"/>
        <v>-</v>
      </c>
    </row>
    <row r="55" spans="12:16" ht="16.5" customHeight="1">
      <c r="L55" s="104" t="str">
        <f t="shared" si="2"/>
        <v/>
      </c>
      <c r="P55" s="105" t="str">
        <f t="shared" ca="1" si="3"/>
        <v>-</v>
      </c>
    </row>
    <row r="56" spans="12:16" ht="16.5" customHeight="1">
      <c r="L56" s="104" t="str">
        <f t="shared" si="2"/>
        <v/>
      </c>
      <c r="P56" s="105" t="str">
        <f t="shared" ca="1" si="3"/>
        <v>-</v>
      </c>
    </row>
    <row r="57" spans="12:16" ht="16.5" customHeight="1">
      <c r="L57" s="104" t="str">
        <f t="shared" si="2"/>
        <v/>
      </c>
      <c r="P57" s="105" t="str">
        <f t="shared" ca="1" si="3"/>
        <v>-</v>
      </c>
    </row>
    <row r="58" spans="12:16" ht="16.5" customHeight="1">
      <c r="L58" s="104" t="str">
        <f t="shared" si="2"/>
        <v/>
      </c>
      <c r="P58" s="105" t="str">
        <f t="shared" ca="1" si="3"/>
        <v>-</v>
      </c>
    </row>
    <row r="59" spans="12:16" ht="16.5" customHeight="1">
      <c r="L59" s="104" t="str">
        <f t="shared" si="2"/>
        <v/>
      </c>
      <c r="P59" s="105" t="str">
        <f t="shared" ca="1" si="3"/>
        <v>-</v>
      </c>
    </row>
    <row r="60" spans="12:16" ht="16.5" customHeight="1">
      <c r="L60" s="104" t="str">
        <f t="shared" si="2"/>
        <v/>
      </c>
      <c r="P60" s="105" t="str">
        <f t="shared" ca="1" si="3"/>
        <v>-</v>
      </c>
    </row>
    <row r="61" spans="12:16" ht="16.5" customHeight="1">
      <c r="L61" s="104" t="str">
        <f t="shared" si="2"/>
        <v/>
      </c>
      <c r="P61" s="105" t="str">
        <f t="shared" ca="1" si="3"/>
        <v>-</v>
      </c>
    </row>
    <row r="62" spans="12:16" ht="16.5" customHeight="1">
      <c r="L62" s="104" t="str">
        <f t="shared" si="2"/>
        <v/>
      </c>
      <c r="P62" s="105" t="str">
        <f t="shared" ca="1" si="3"/>
        <v>-</v>
      </c>
    </row>
    <row r="63" spans="12:16" ht="16.5" customHeight="1">
      <c r="L63" s="104" t="str">
        <f t="shared" si="2"/>
        <v/>
      </c>
      <c r="P63" s="105" t="str">
        <f t="shared" ca="1" si="3"/>
        <v>-</v>
      </c>
    </row>
    <row r="64" spans="12:16" ht="16.5" customHeight="1">
      <c r="L64" s="104" t="str">
        <f t="shared" si="2"/>
        <v/>
      </c>
      <c r="P64" s="105" t="str">
        <f t="shared" ca="1" si="3"/>
        <v>-</v>
      </c>
    </row>
    <row r="65" spans="12:16" ht="16.5" customHeight="1">
      <c r="L65" s="104" t="str">
        <f t="shared" si="2"/>
        <v/>
      </c>
      <c r="P65" s="105" t="str">
        <f t="shared" ca="1" si="3"/>
        <v>-</v>
      </c>
    </row>
    <row r="66" spans="12:16" ht="16.5" customHeight="1">
      <c r="L66" s="104" t="str">
        <f t="shared" si="2"/>
        <v/>
      </c>
      <c r="P66" s="105" t="str">
        <f t="shared" ca="1" si="3"/>
        <v>-</v>
      </c>
    </row>
    <row r="67" spans="12:16" ht="16.5" customHeight="1">
      <c r="L67" s="104" t="str">
        <f t="shared" si="2"/>
        <v/>
      </c>
      <c r="P67" s="105" t="str">
        <f t="shared" ca="1" si="3"/>
        <v>-</v>
      </c>
    </row>
    <row r="68" spans="12:16" ht="16.5" customHeight="1">
      <c r="L68" s="104" t="str">
        <f t="shared" si="2"/>
        <v/>
      </c>
      <c r="P68" s="105" t="str">
        <f t="shared" ca="1" si="3"/>
        <v>-</v>
      </c>
    </row>
    <row r="69" spans="12:16" ht="16.5" customHeight="1">
      <c r="L69" s="104" t="str">
        <f t="shared" si="2"/>
        <v/>
      </c>
      <c r="P69" s="105" t="str">
        <f t="shared" ca="1" si="3"/>
        <v>-</v>
      </c>
    </row>
    <row r="70" spans="12:16" ht="16.5" customHeight="1">
      <c r="L70" s="104" t="str">
        <f t="shared" ref="L70:L100" si="4">IF(K70&lt;&gt;"", K70+30, "")</f>
        <v/>
      </c>
      <c r="P70" s="105" t="str">
        <f t="shared" ref="P70:P100" ca="1" si="5">IF(AND(O70&lt;&gt;"", O70&gt;0, L70&lt;&gt;"", TODAY()&gt;L70), "확인요망", "-")</f>
        <v>-</v>
      </c>
    </row>
    <row r="71" spans="12:16" ht="16.5" customHeight="1">
      <c r="L71" s="104" t="str">
        <f t="shared" si="4"/>
        <v/>
      </c>
      <c r="P71" s="105" t="str">
        <f t="shared" ca="1" si="5"/>
        <v>-</v>
      </c>
    </row>
    <row r="72" spans="12:16" ht="16.5" customHeight="1">
      <c r="L72" s="104" t="str">
        <f t="shared" si="4"/>
        <v/>
      </c>
      <c r="P72" s="105" t="str">
        <f t="shared" ca="1" si="5"/>
        <v>-</v>
      </c>
    </row>
    <row r="73" spans="12:16" ht="16.5" customHeight="1">
      <c r="L73" s="104" t="str">
        <f t="shared" si="4"/>
        <v/>
      </c>
      <c r="P73" s="105" t="str">
        <f t="shared" ca="1" si="5"/>
        <v>-</v>
      </c>
    </row>
    <row r="74" spans="12:16" ht="16.5" customHeight="1">
      <c r="L74" s="104" t="str">
        <f t="shared" si="4"/>
        <v/>
      </c>
      <c r="P74" s="105" t="str">
        <f t="shared" ca="1" si="5"/>
        <v>-</v>
      </c>
    </row>
    <row r="75" spans="12:16" ht="16.5" customHeight="1">
      <c r="L75" s="104" t="str">
        <f t="shared" si="4"/>
        <v/>
      </c>
      <c r="P75" s="105" t="str">
        <f t="shared" ca="1" si="5"/>
        <v>-</v>
      </c>
    </row>
    <row r="76" spans="12:16" ht="16.5" customHeight="1">
      <c r="L76" s="104" t="str">
        <f t="shared" si="4"/>
        <v/>
      </c>
      <c r="P76" s="105" t="str">
        <f t="shared" ca="1" si="5"/>
        <v>-</v>
      </c>
    </row>
    <row r="77" spans="12:16" ht="16.5" customHeight="1">
      <c r="L77" s="104" t="str">
        <f t="shared" si="4"/>
        <v/>
      </c>
      <c r="P77" s="105" t="str">
        <f t="shared" ca="1" si="5"/>
        <v>-</v>
      </c>
    </row>
    <row r="78" spans="12:16" ht="16.5" customHeight="1">
      <c r="L78" s="104" t="str">
        <f t="shared" si="4"/>
        <v/>
      </c>
      <c r="P78" s="105" t="str">
        <f t="shared" ca="1" si="5"/>
        <v>-</v>
      </c>
    </row>
    <row r="79" spans="12:16" ht="16.5" customHeight="1">
      <c r="L79" s="104" t="str">
        <f t="shared" si="4"/>
        <v/>
      </c>
      <c r="P79" s="105" t="str">
        <f t="shared" ca="1" si="5"/>
        <v>-</v>
      </c>
    </row>
    <row r="80" spans="12:16" ht="16.5" customHeight="1">
      <c r="L80" s="104" t="str">
        <f t="shared" si="4"/>
        <v/>
      </c>
      <c r="P80" s="105" t="str">
        <f t="shared" ca="1" si="5"/>
        <v>-</v>
      </c>
    </row>
    <row r="81" spans="12:16" ht="16.5" customHeight="1">
      <c r="L81" s="104" t="str">
        <f t="shared" si="4"/>
        <v/>
      </c>
      <c r="P81" s="105" t="str">
        <f t="shared" ca="1" si="5"/>
        <v>-</v>
      </c>
    </row>
    <row r="82" spans="12:16" ht="16.5" customHeight="1">
      <c r="L82" s="104" t="str">
        <f t="shared" si="4"/>
        <v/>
      </c>
      <c r="P82" s="105" t="str">
        <f t="shared" ca="1" si="5"/>
        <v>-</v>
      </c>
    </row>
    <row r="83" spans="12:16" ht="16.5" customHeight="1">
      <c r="L83" s="104" t="str">
        <f t="shared" si="4"/>
        <v/>
      </c>
      <c r="P83" s="105" t="str">
        <f t="shared" ca="1" si="5"/>
        <v>-</v>
      </c>
    </row>
    <row r="84" spans="12:16" ht="16.5" customHeight="1">
      <c r="L84" s="104" t="str">
        <f t="shared" si="4"/>
        <v/>
      </c>
      <c r="P84" s="105" t="str">
        <f t="shared" ca="1" si="5"/>
        <v>-</v>
      </c>
    </row>
    <row r="85" spans="12:16" ht="16.5" customHeight="1">
      <c r="L85" s="104" t="str">
        <f t="shared" si="4"/>
        <v/>
      </c>
      <c r="P85" s="105" t="str">
        <f t="shared" ca="1" si="5"/>
        <v>-</v>
      </c>
    </row>
    <row r="86" spans="12:16" ht="16.5" customHeight="1">
      <c r="L86" s="104" t="str">
        <f t="shared" si="4"/>
        <v/>
      </c>
      <c r="P86" s="105" t="str">
        <f t="shared" ca="1" si="5"/>
        <v>-</v>
      </c>
    </row>
    <row r="87" spans="12:16" ht="16.5" customHeight="1">
      <c r="L87" s="104" t="str">
        <f t="shared" si="4"/>
        <v/>
      </c>
      <c r="P87" s="105" t="str">
        <f t="shared" ca="1" si="5"/>
        <v>-</v>
      </c>
    </row>
    <row r="88" spans="12:16" ht="16.5" customHeight="1">
      <c r="L88" s="104" t="str">
        <f t="shared" si="4"/>
        <v/>
      </c>
      <c r="P88" s="105" t="str">
        <f t="shared" ca="1" si="5"/>
        <v>-</v>
      </c>
    </row>
    <row r="89" spans="12:16" ht="16.5" customHeight="1">
      <c r="L89" s="104" t="str">
        <f t="shared" si="4"/>
        <v/>
      </c>
      <c r="P89" s="105" t="str">
        <f t="shared" ca="1" si="5"/>
        <v>-</v>
      </c>
    </row>
    <row r="90" spans="12:16" ht="16.5" customHeight="1">
      <c r="L90" s="104" t="str">
        <f t="shared" si="4"/>
        <v/>
      </c>
      <c r="P90" s="105" t="str">
        <f t="shared" ca="1" si="5"/>
        <v>-</v>
      </c>
    </row>
    <row r="91" spans="12:16" ht="16.5" customHeight="1">
      <c r="L91" s="104" t="str">
        <f t="shared" si="4"/>
        <v/>
      </c>
      <c r="P91" s="105" t="str">
        <f t="shared" ca="1" si="5"/>
        <v>-</v>
      </c>
    </row>
    <row r="92" spans="12:16" ht="16.5" customHeight="1">
      <c r="L92" s="104" t="str">
        <f t="shared" si="4"/>
        <v/>
      </c>
      <c r="P92" s="105" t="str">
        <f t="shared" ca="1" si="5"/>
        <v>-</v>
      </c>
    </row>
    <row r="93" spans="12:16" ht="16.5" customHeight="1">
      <c r="L93" s="104" t="str">
        <f t="shared" si="4"/>
        <v/>
      </c>
      <c r="P93" s="105" t="str">
        <f t="shared" ca="1" si="5"/>
        <v>-</v>
      </c>
    </row>
    <row r="94" spans="12:16" ht="16.5" customHeight="1">
      <c r="L94" s="104" t="str">
        <f t="shared" si="4"/>
        <v/>
      </c>
      <c r="P94" s="105" t="str">
        <f t="shared" ca="1" si="5"/>
        <v>-</v>
      </c>
    </row>
    <row r="95" spans="12:16" ht="16.5" customHeight="1">
      <c r="L95" s="104" t="str">
        <f t="shared" si="4"/>
        <v/>
      </c>
      <c r="P95" s="105" t="str">
        <f t="shared" ca="1" si="5"/>
        <v>-</v>
      </c>
    </row>
    <row r="96" spans="12:16" ht="16.5" customHeight="1">
      <c r="L96" s="104" t="str">
        <f t="shared" si="4"/>
        <v/>
      </c>
      <c r="P96" s="105" t="str">
        <f t="shared" ca="1" si="5"/>
        <v>-</v>
      </c>
    </row>
    <row r="97" spans="12:16" ht="16.5" customHeight="1">
      <c r="L97" s="104" t="str">
        <f t="shared" si="4"/>
        <v/>
      </c>
      <c r="P97" s="105" t="str">
        <f t="shared" ca="1" si="5"/>
        <v>-</v>
      </c>
    </row>
    <row r="98" spans="12:16" ht="16.5" customHeight="1">
      <c r="L98" s="104" t="str">
        <f t="shared" si="4"/>
        <v/>
      </c>
      <c r="P98" s="105" t="str">
        <f t="shared" ca="1" si="5"/>
        <v>-</v>
      </c>
    </row>
    <row r="99" spans="12:16" ht="16.5" customHeight="1">
      <c r="L99" s="104" t="str">
        <f t="shared" si="4"/>
        <v/>
      </c>
      <c r="P99" s="105" t="str">
        <f t="shared" ca="1" si="5"/>
        <v>-</v>
      </c>
    </row>
    <row r="100" spans="12:16" ht="16.5" customHeight="1">
      <c r="L100" s="104" t="str">
        <f t="shared" si="4"/>
        <v/>
      </c>
      <c r="P100" s="105" t="str">
        <f t="shared" ca="1" si="5"/>
        <v>-</v>
      </c>
    </row>
  </sheetData>
  <phoneticPr fontId="11" type="noConversion"/>
  <conditionalFormatting sqref="B2:P100">
    <cfRule type="expression" dxfId="1" priority="4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91"/>
  <sheetViews>
    <sheetView showGridLines="0" zoomScale="96" zoomScaleNormal="96" workbookViewId="0">
      <selection activeCell="H17" sqref="H17"/>
    </sheetView>
  </sheetViews>
  <sheetFormatPr defaultColWidth="9" defaultRowHeight="13.5"/>
  <cols>
    <col min="1" max="1" width="3" style="2" customWidth="1"/>
    <col min="2" max="2" width="9" style="2" customWidth="1"/>
    <col min="3" max="3" width="23" style="2" customWidth="1"/>
    <col min="4" max="4" width="13.75" style="2" customWidth="1"/>
    <col min="5" max="5" width="20.375" style="2" customWidth="1"/>
    <col min="6" max="6" width="16.375" style="2" customWidth="1"/>
    <col min="7" max="7" width="13.125" style="4" customWidth="1"/>
    <col min="8" max="8" width="22.375" style="2" customWidth="1"/>
    <col min="9" max="9" width="14.875" style="5" customWidth="1"/>
    <col min="10" max="11" width="13.25" style="3" customWidth="1"/>
    <col min="12" max="12" width="12.375" style="2" customWidth="1"/>
    <col min="13" max="13" width="13.875" style="2" customWidth="1"/>
    <col min="14" max="14" width="13" style="6" customWidth="1"/>
    <col min="15" max="16" width="12" style="6" customWidth="1"/>
    <col min="17" max="22" width="9" style="2" customWidth="1"/>
    <col min="23" max="16384" width="9" style="2"/>
  </cols>
  <sheetData>
    <row r="1" spans="2:17" s="7" customFormat="1" ht="16.5" customHeight="1">
      <c r="B1" s="122" t="s">
        <v>39</v>
      </c>
      <c r="C1" s="8" t="s">
        <v>27</v>
      </c>
      <c r="D1" s="8" t="s">
        <v>40</v>
      </c>
      <c r="E1" s="8" t="s">
        <v>41</v>
      </c>
      <c r="F1" s="8" t="s">
        <v>88</v>
      </c>
      <c r="G1" s="8" t="s">
        <v>94</v>
      </c>
      <c r="H1" s="8" t="s">
        <v>95</v>
      </c>
      <c r="I1" s="8" t="s">
        <v>96</v>
      </c>
      <c r="J1" s="9" t="s">
        <v>97</v>
      </c>
      <c r="K1" s="9" t="s">
        <v>48</v>
      </c>
      <c r="L1" s="10" t="s">
        <v>49</v>
      </c>
      <c r="M1" s="11" t="s">
        <v>50</v>
      </c>
      <c r="N1" s="12" t="s">
        <v>98</v>
      </c>
      <c r="O1" s="123" t="s">
        <v>99</v>
      </c>
      <c r="P1" s="12" t="s">
        <v>54</v>
      </c>
      <c r="Q1" s="2"/>
    </row>
    <row r="2" spans="2:17" ht="16.5" customHeight="1">
      <c r="B2" s="13">
        <v>1</v>
      </c>
      <c r="C2" s="14" t="s">
        <v>31</v>
      </c>
      <c r="D2" s="14" t="s">
        <v>100</v>
      </c>
      <c r="E2" s="14" t="s">
        <v>101</v>
      </c>
      <c r="F2" s="16">
        <v>659000000</v>
      </c>
      <c r="G2" s="17">
        <v>0.01</v>
      </c>
      <c r="H2" s="18">
        <v>10351500</v>
      </c>
      <c r="I2" s="19">
        <f>(F2*G2)-(H2*50%)</f>
        <v>1414250</v>
      </c>
      <c r="J2" s="112">
        <v>46023</v>
      </c>
      <c r="K2" s="112">
        <v>46054</v>
      </c>
      <c r="L2" s="100">
        <f t="shared" ref="L2:L33" si="0">IF(K2&lt;&gt;"", K2+30, "")</f>
        <v>46084</v>
      </c>
      <c r="M2" s="113">
        <v>46075</v>
      </c>
      <c r="N2" s="16">
        <v>1555675</v>
      </c>
      <c r="O2" s="20">
        <f>(I2*1.1)-N2</f>
        <v>0</v>
      </c>
      <c r="P2" s="101" t="str">
        <f t="shared" ref="P2:P33" ca="1" si="1">IF(AND(O2&lt;&gt;"", O2&gt;0, L2&lt;&gt;"", TODAY()&gt;L2), "확인요망", "-")</f>
        <v>-</v>
      </c>
    </row>
    <row r="3" spans="2:17" ht="16.5" customHeight="1">
      <c r="B3" s="21">
        <v>2</v>
      </c>
      <c r="C3" s="22" t="s">
        <v>31</v>
      </c>
      <c r="D3" s="22" t="s">
        <v>100</v>
      </c>
      <c r="E3" s="22" t="s">
        <v>102</v>
      </c>
      <c r="F3" s="23">
        <v>23300000</v>
      </c>
      <c r="G3" s="24">
        <v>0.01</v>
      </c>
      <c r="H3" s="25">
        <v>416500</v>
      </c>
      <c r="I3" s="19">
        <f>(F3*G3)-(H3*50%)</f>
        <v>24750</v>
      </c>
      <c r="J3" s="114">
        <v>46023</v>
      </c>
      <c r="K3" s="112">
        <v>46054</v>
      </c>
      <c r="L3" s="102">
        <f t="shared" si="0"/>
        <v>46084</v>
      </c>
      <c r="M3" s="115">
        <v>46075</v>
      </c>
      <c r="N3" s="23">
        <v>27225</v>
      </c>
      <c r="O3" s="27">
        <f>(I3*1.1)-N3</f>
        <v>0</v>
      </c>
      <c r="P3" s="103" t="str">
        <f t="shared" ca="1" si="1"/>
        <v>-</v>
      </c>
    </row>
    <row r="4" spans="2:17" ht="16.5" customHeight="1">
      <c r="B4" s="21">
        <v>3</v>
      </c>
      <c r="C4" s="22" t="s">
        <v>31</v>
      </c>
      <c r="D4" s="22" t="s">
        <v>103</v>
      </c>
      <c r="E4" s="22" t="s">
        <v>104</v>
      </c>
      <c r="F4" s="23">
        <v>216500000</v>
      </c>
      <c r="G4" s="24">
        <v>0.01</v>
      </c>
      <c r="H4" s="25">
        <v>2565600</v>
      </c>
      <c r="I4" s="19">
        <f>(F4*G4)-(H4*50%)</f>
        <v>882200</v>
      </c>
      <c r="J4" s="114">
        <v>46023</v>
      </c>
      <c r="K4" s="112">
        <v>46054</v>
      </c>
      <c r="L4" s="102">
        <f t="shared" si="0"/>
        <v>46084</v>
      </c>
      <c r="M4" s="26"/>
      <c r="N4" s="23"/>
      <c r="O4" s="27">
        <f>(I4*1.1)-N4</f>
        <v>970420.00000000012</v>
      </c>
      <c r="P4" s="103" t="str">
        <f t="shared" ca="1" si="1"/>
        <v>-</v>
      </c>
    </row>
    <row r="5" spans="2:17" ht="16.5" customHeight="1">
      <c r="B5" s="21">
        <v>4</v>
      </c>
      <c r="C5" s="22" t="s">
        <v>31</v>
      </c>
      <c r="D5" s="22" t="s">
        <v>103</v>
      </c>
      <c r="E5" s="22" t="s">
        <v>105</v>
      </c>
      <c r="F5" s="23">
        <v>598100000</v>
      </c>
      <c r="G5" s="24">
        <v>0.01</v>
      </c>
      <c r="H5" s="25">
        <v>6978000</v>
      </c>
      <c r="I5" s="19">
        <f>(F5*G5)-(H5*50%)</f>
        <v>2492000</v>
      </c>
      <c r="J5" s="114">
        <v>46023</v>
      </c>
      <c r="K5" s="112">
        <v>46054</v>
      </c>
      <c r="L5" s="102">
        <f t="shared" si="0"/>
        <v>46084</v>
      </c>
      <c r="M5" s="26"/>
      <c r="N5" s="23"/>
      <c r="O5" s="27">
        <f>(I5*1.1)-N5</f>
        <v>2741200</v>
      </c>
      <c r="P5" s="103" t="str">
        <f t="shared" ca="1" si="1"/>
        <v>-</v>
      </c>
    </row>
    <row r="6" spans="2:17" ht="16.5" customHeight="1">
      <c r="I6" s="28">
        <f>F6*G6</f>
        <v>0</v>
      </c>
      <c r="L6" s="104" t="str">
        <f t="shared" si="0"/>
        <v/>
      </c>
      <c r="P6" s="105" t="str">
        <f t="shared" ca="1" si="1"/>
        <v>-</v>
      </c>
    </row>
    <row r="7" spans="2:17" ht="16.5" customHeight="1">
      <c r="L7" s="104" t="str">
        <f t="shared" si="0"/>
        <v/>
      </c>
      <c r="P7" s="105" t="str">
        <f t="shared" ca="1" si="1"/>
        <v>-</v>
      </c>
    </row>
    <row r="8" spans="2:17" ht="16.5" customHeight="1">
      <c r="I8" s="28"/>
      <c r="L8" s="104" t="str">
        <f t="shared" si="0"/>
        <v/>
      </c>
      <c r="P8" s="105" t="str">
        <f t="shared" ca="1" si="1"/>
        <v>-</v>
      </c>
    </row>
    <row r="9" spans="2:17" ht="16.5" customHeight="1">
      <c r="L9" s="104" t="str">
        <f t="shared" si="0"/>
        <v/>
      </c>
      <c r="P9" s="105" t="str">
        <f t="shared" ca="1" si="1"/>
        <v>-</v>
      </c>
    </row>
    <row r="10" spans="2:17" ht="16.5" customHeight="1">
      <c r="L10" s="104" t="str">
        <f t="shared" si="0"/>
        <v/>
      </c>
      <c r="P10" s="105" t="str">
        <f t="shared" ca="1" si="1"/>
        <v>-</v>
      </c>
    </row>
    <row r="11" spans="2:17" ht="16.5" customHeight="1">
      <c r="L11" s="104" t="str">
        <f t="shared" si="0"/>
        <v/>
      </c>
      <c r="P11" s="105" t="str">
        <f t="shared" ca="1" si="1"/>
        <v>-</v>
      </c>
    </row>
    <row r="12" spans="2:17" ht="16.5" customHeight="1">
      <c r="L12" s="104" t="str">
        <f t="shared" si="0"/>
        <v/>
      </c>
      <c r="P12" s="105" t="str">
        <f t="shared" ca="1" si="1"/>
        <v>-</v>
      </c>
    </row>
    <row r="13" spans="2:17" ht="16.5" customHeight="1">
      <c r="L13" s="104" t="str">
        <f t="shared" si="0"/>
        <v/>
      </c>
      <c r="P13" s="105" t="str">
        <f t="shared" ca="1" si="1"/>
        <v>-</v>
      </c>
    </row>
    <row r="14" spans="2:17" ht="16.5" customHeight="1">
      <c r="L14" s="104" t="str">
        <f t="shared" si="0"/>
        <v/>
      </c>
      <c r="P14" s="105" t="str">
        <f t="shared" ca="1" si="1"/>
        <v>-</v>
      </c>
    </row>
    <row r="15" spans="2:17" ht="16.5" customHeight="1">
      <c r="L15" s="104" t="str">
        <f t="shared" si="0"/>
        <v/>
      </c>
      <c r="P15" s="105" t="str">
        <f t="shared" ca="1" si="1"/>
        <v>-</v>
      </c>
    </row>
    <row r="16" spans="2:17" ht="16.5" customHeight="1">
      <c r="L16" s="104" t="str">
        <f t="shared" si="0"/>
        <v/>
      </c>
      <c r="P16" s="105" t="str">
        <f t="shared" ca="1" si="1"/>
        <v>-</v>
      </c>
    </row>
    <row r="17" spans="12:16" ht="16.5" customHeight="1">
      <c r="L17" s="104" t="str">
        <f t="shared" si="0"/>
        <v/>
      </c>
      <c r="P17" s="105" t="str">
        <f t="shared" ca="1" si="1"/>
        <v>-</v>
      </c>
    </row>
    <row r="18" spans="12:16" ht="16.5" customHeight="1">
      <c r="L18" s="104" t="str">
        <f t="shared" si="0"/>
        <v/>
      </c>
      <c r="P18" s="105" t="str">
        <f t="shared" ca="1" si="1"/>
        <v>-</v>
      </c>
    </row>
    <row r="19" spans="12:16" ht="16.5" customHeight="1">
      <c r="L19" s="104" t="str">
        <f t="shared" si="0"/>
        <v/>
      </c>
      <c r="P19" s="105" t="str">
        <f t="shared" ca="1" si="1"/>
        <v>-</v>
      </c>
    </row>
    <row r="20" spans="12:16" ht="16.5" customHeight="1">
      <c r="L20" s="104" t="str">
        <f t="shared" si="0"/>
        <v/>
      </c>
      <c r="P20" s="105" t="str">
        <f t="shared" ca="1" si="1"/>
        <v>-</v>
      </c>
    </row>
    <row r="21" spans="12:16" ht="16.5" customHeight="1">
      <c r="L21" s="104" t="str">
        <f t="shared" si="0"/>
        <v/>
      </c>
      <c r="P21" s="105" t="str">
        <f t="shared" ca="1" si="1"/>
        <v>-</v>
      </c>
    </row>
    <row r="22" spans="12:16" ht="16.5" customHeight="1">
      <c r="L22" s="104" t="str">
        <f t="shared" si="0"/>
        <v/>
      </c>
      <c r="P22" s="105" t="str">
        <f t="shared" ca="1" si="1"/>
        <v>-</v>
      </c>
    </row>
    <row r="23" spans="12:16" ht="16.5" customHeight="1">
      <c r="L23" s="104" t="str">
        <f t="shared" si="0"/>
        <v/>
      </c>
      <c r="P23" s="105" t="str">
        <f t="shared" ca="1" si="1"/>
        <v>-</v>
      </c>
    </row>
    <row r="24" spans="12:16" ht="16.5" customHeight="1">
      <c r="L24" s="104" t="str">
        <f t="shared" si="0"/>
        <v/>
      </c>
      <c r="P24" s="105" t="str">
        <f t="shared" ca="1" si="1"/>
        <v>-</v>
      </c>
    </row>
    <row r="25" spans="12:16" ht="16.5" customHeight="1">
      <c r="L25" s="104" t="str">
        <f t="shared" si="0"/>
        <v/>
      </c>
      <c r="P25" s="105" t="str">
        <f t="shared" ca="1" si="1"/>
        <v>-</v>
      </c>
    </row>
    <row r="26" spans="12:16" ht="16.5" customHeight="1">
      <c r="L26" s="104" t="str">
        <f t="shared" si="0"/>
        <v/>
      </c>
      <c r="P26" s="105" t="str">
        <f t="shared" ca="1" si="1"/>
        <v>-</v>
      </c>
    </row>
    <row r="27" spans="12:16" ht="16.5" customHeight="1">
      <c r="L27" s="104" t="str">
        <f t="shared" si="0"/>
        <v/>
      </c>
      <c r="P27" s="105" t="str">
        <f t="shared" ca="1" si="1"/>
        <v>-</v>
      </c>
    </row>
    <row r="28" spans="12:16" ht="16.5" customHeight="1">
      <c r="L28" s="104" t="str">
        <f t="shared" si="0"/>
        <v/>
      </c>
      <c r="P28" s="105" t="str">
        <f t="shared" ca="1" si="1"/>
        <v>-</v>
      </c>
    </row>
    <row r="29" spans="12:16" ht="16.5" customHeight="1">
      <c r="L29" s="104" t="str">
        <f t="shared" si="0"/>
        <v/>
      </c>
      <c r="P29" s="105" t="str">
        <f t="shared" ca="1" si="1"/>
        <v>-</v>
      </c>
    </row>
    <row r="30" spans="12:16" ht="16.5" customHeight="1">
      <c r="L30" s="104" t="str">
        <f t="shared" si="0"/>
        <v/>
      </c>
      <c r="P30" s="105" t="str">
        <f t="shared" ca="1" si="1"/>
        <v>-</v>
      </c>
    </row>
    <row r="31" spans="12:16" ht="16.5" customHeight="1">
      <c r="L31" s="104" t="str">
        <f t="shared" si="0"/>
        <v/>
      </c>
      <c r="P31" s="105" t="str">
        <f t="shared" ca="1" si="1"/>
        <v>-</v>
      </c>
    </row>
    <row r="32" spans="12:16" ht="16.5" customHeight="1">
      <c r="L32" s="104" t="str">
        <f t="shared" si="0"/>
        <v/>
      </c>
      <c r="P32" s="105" t="str">
        <f t="shared" ca="1" si="1"/>
        <v>-</v>
      </c>
    </row>
    <row r="33" spans="12:16" ht="16.5" customHeight="1">
      <c r="L33" s="104" t="str">
        <f t="shared" si="0"/>
        <v/>
      </c>
      <c r="P33" s="105" t="str">
        <f t="shared" ca="1" si="1"/>
        <v>-</v>
      </c>
    </row>
    <row r="34" spans="12:16" ht="16.5" customHeight="1">
      <c r="L34" s="104" t="str">
        <f t="shared" ref="L34:L65" si="2">IF(K34&lt;&gt;"", K34+30, "")</f>
        <v/>
      </c>
      <c r="P34" s="105" t="str">
        <f t="shared" ref="P34:P65" ca="1" si="3">IF(AND(O34&lt;&gt;"", O34&gt;0, L34&lt;&gt;"", TODAY()&gt;L34), "확인요망", "-")</f>
        <v>-</v>
      </c>
    </row>
    <row r="35" spans="12:16" ht="16.5" customHeight="1">
      <c r="L35" s="104" t="str">
        <f t="shared" si="2"/>
        <v/>
      </c>
      <c r="P35" s="105" t="str">
        <f t="shared" ca="1" si="3"/>
        <v>-</v>
      </c>
    </row>
    <row r="36" spans="12:16" ht="16.5" customHeight="1">
      <c r="L36" s="104" t="str">
        <f t="shared" si="2"/>
        <v/>
      </c>
      <c r="P36" s="105" t="str">
        <f t="shared" ca="1" si="3"/>
        <v>-</v>
      </c>
    </row>
    <row r="37" spans="12:16" ht="16.5" customHeight="1">
      <c r="L37" s="104" t="str">
        <f t="shared" si="2"/>
        <v/>
      </c>
      <c r="P37" s="105" t="str">
        <f t="shared" ca="1" si="3"/>
        <v>-</v>
      </c>
    </row>
    <row r="38" spans="12:16" ht="16.5" customHeight="1">
      <c r="L38" s="104" t="str">
        <f t="shared" si="2"/>
        <v/>
      </c>
      <c r="P38" s="105" t="str">
        <f t="shared" ca="1" si="3"/>
        <v>-</v>
      </c>
    </row>
    <row r="39" spans="12:16" ht="16.5" customHeight="1">
      <c r="L39" s="104" t="str">
        <f t="shared" si="2"/>
        <v/>
      </c>
      <c r="P39" s="105" t="str">
        <f t="shared" ca="1" si="3"/>
        <v>-</v>
      </c>
    </row>
    <row r="40" spans="12:16" ht="16.5" customHeight="1">
      <c r="L40" s="104" t="str">
        <f t="shared" si="2"/>
        <v/>
      </c>
      <c r="P40" s="105" t="str">
        <f t="shared" ca="1" si="3"/>
        <v>-</v>
      </c>
    </row>
    <row r="41" spans="12:16" ht="16.5" customHeight="1">
      <c r="L41" s="104" t="str">
        <f t="shared" si="2"/>
        <v/>
      </c>
      <c r="P41" s="105" t="str">
        <f t="shared" ca="1" si="3"/>
        <v>-</v>
      </c>
    </row>
    <row r="42" spans="12:16" ht="16.5" customHeight="1">
      <c r="L42" s="104" t="str">
        <f t="shared" si="2"/>
        <v/>
      </c>
      <c r="P42" s="105" t="str">
        <f t="shared" ca="1" si="3"/>
        <v>-</v>
      </c>
    </row>
    <row r="43" spans="12:16" ht="16.5" customHeight="1">
      <c r="L43" s="104" t="str">
        <f t="shared" si="2"/>
        <v/>
      </c>
      <c r="P43" s="105" t="str">
        <f t="shared" ca="1" si="3"/>
        <v>-</v>
      </c>
    </row>
    <row r="44" spans="12:16" ht="16.5" customHeight="1">
      <c r="L44" s="104" t="str">
        <f t="shared" si="2"/>
        <v/>
      </c>
      <c r="P44" s="105" t="str">
        <f t="shared" ca="1" si="3"/>
        <v>-</v>
      </c>
    </row>
    <row r="45" spans="12:16" ht="16.5" customHeight="1">
      <c r="L45" s="104" t="str">
        <f t="shared" si="2"/>
        <v/>
      </c>
      <c r="P45" s="105" t="str">
        <f t="shared" ca="1" si="3"/>
        <v>-</v>
      </c>
    </row>
    <row r="46" spans="12:16" ht="16.5" customHeight="1">
      <c r="L46" s="104" t="str">
        <f t="shared" si="2"/>
        <v/>
      </c>
      <c r="P46" s="105" t="str">
        <f t="shared" ca="1" si="3"/>
        <v>-</v>
      </c>
    </row>
    <row r="47" spans="12:16" ht="16.5" customHeight="1">
      <c r="L47" s="104" t="str">
        <f t="shared" si="2"/>
        <v/>
      </c>
      <c r="P47" s="105" t="str">
        <f t="shared" ca="1" si="3"/>
        <v>-</v>
      </c>
    </row>
    <row r="48" spans="12:16" ht="16.5" customHeight="1">
      <c r="L48" s="104" t="str">
        <f t="shared" si="2"/>
        <v/>
      </c>
      <c r="P48" s="105" t="str">
        <f t="shared" ca="1" si="3"/>
        <v>-</v>
      </c>
    </row>
    <row r="49" spans="12:16" ht="16.5" customHeight="1">
      <c r="L49" s="104" t="str">
        <f t="shared" si="2"/>
        <v/>
      </c>
      <c r="P49" s="105" t="str">
        <f t="shared" ca="1" si="3"/>
        <v>-</v>
      </c>
    </row>
    <row r="50" spans="12:16" ht="16.5" customHeight="1">
      <c r="L50" s="104" t="str">
        <f t="shared" si="2"/>
        <v/>
      </c>
      <c r="P50" s="105" t="str">
        <f t="shared" ca="1" si="3"/>
        <v>-</v>
      </c>
    </row>
    <row r="51" spans="12:16" ht="16.5" customHeight="1">
      <c r="L51" s="104" t="str">
        <f t="shared" si="2"/>
        <v/>
      </c>
      <c r="P51" s="105" t="str">
        <f t="shared" ca="1" si="3"/>
        <v>-</v>
      </c>
    </row>
    <row r="52" spans="12:16" ht="16.5" customHeight="1">
      <c r="L52" s="104" t="str">
        <f t="shared" si="2"/>
        <v/>
      </c>
      <c r="P52" s="105" t="str">
        <f t="shared" ca="1" si="3"/>
        <v>-</v>
      </c>
    </row>
    <row r="53" spans="12:16" ht="16.5" customHeight="1">
      <c r="L53" s="104" t="str">
        <f t="shared" si="2"/>
        <v/>
      </c>
      <c r="P53" s="105" t="str">
        <f t="shared" ca="1" si="3"/>
        <v>-</v>
      </c>
    </row>
    <row r="54" spans="12:16" ht="16.5" customHeight="1">
      <c r="L54" s="104" t="str">
        <f t="shared" si="2"/>
        <v/>
      </c>
      <c r="P54" s="105" t="str">
        <f t="shared" ca="1" si="3"/>
        <v>-</v>
      </c>
    </row>
    <row r="55" spans="12:16" ht="16.5" customHeight="1">
      <c r="L55" s="104" t="str">
        <f t="shared" si="2"/>
        <v/>
      </c>
      <c r="P55" s="105" t="str">
        <f t="shared" ca="1" si="3"/>
        <v>-</v>
      </c>
    </row>
    <row r="56" spans="12:16" ht="16.5" customHeight="1">
      <c r="L56" s="104" t="str">
        <f t="shared" si="2"/>
        <v/>
      </c>
      <c r="P56" s="105" t="str">
        <f t="shared" ca="1" si="3"/>
        <v>-</v>
      </c>
    </row>
    <row r="57" spans="12:16" ht="16.5" customHeight="1">
      <c r="L57" s="104" t="str">
        <f t="shared" si="2"/>
        <v/>
      </c>
      <c r="P57" s="105" t="str">
        <f t="shared" ca="1" si="3"/>
        <v>-</v>
      </c>
    </row>
    <row r="58" spans="12:16" ht="16.5" customHeight="1">
      <c r="L58" s="104" t="str">
        <f t="shared" si="2"/>
        <v/>
      </c>
      <c r="P58" s="105" t="str">
        <f t="shared" ca="1" si="3"/>
        <v>-</v>
      </c>
    </row>
    <row r="59" spans="12:16" ht="16.5" customHeight="1">
      <c r="L59" s="104" t="str">
        <f t="shared" si="2"/>
        <v/>
      </c>
      <c r="P59" s="105" t="str">
        <f t="shared" ca="1" si="3"/>
        <v>-</v>
      </c>
    </row>
    <row r="60" spans="12:16" ht="16.5" customHeight="1">
      <c r="L60" s="104" t="str">
        <f t="shared" si="2"/>
        <v/>
      </c>
      <c r="P60" s="105" t="str">
        <f t="shared" ca="1" si="3"/>
        <v>-</v>
      </c>
    </row>
    <row r="61" spans="12:16" ht="16.5" customHeight="1">
      <c r="L61" s="104" t="str">
        <f t="shared" si="2"/>
        <v/>
      </c>
      <c r="P61" s="105" t="str">
        <f t="shared" ca="1" si="3"/>
        <v>-</v>
      </c>
    </row>
    <row r="62" spans="12:16" ht="16.5" customHeight="1">
      <c r="L62" s="104" t="str">
        <f t="shared" si="2"/>
        <v/>
      </c>
      <c r="P62" s="105" t="str">
        <f t="shared" ca="1" si="3"/>
        <v>-</v>
      </c>
    </row>
    <row r="63" spans="12:16" ht="16.5" customHeight="1">
      <c r="L63" s="104" t="str">
        <f t="shared" si="2"/>
        <v/>
      </c>
      <c r="P63" s="105" t="str">
        <f t="shared" ca="1" si="3"/>
        <v>-</v>
      </c>
    </row>
    <row r="64" spans="12:16" ht="16.5" customHeight="1">
      <c r="L64" s="104" t="str">
        <f t="shared" si="2"/>
        <v/>
      </c>
      <c r="P64" s="105" t="str">
        <f t="shared" ca="1" si="3"/>
        <v>-</v>
      </c>
    </row>
    <row r="65" spans="12:16" ht="16.5" customHeight="1">
      <c r="L65" s="104" t="str">
        <f t="shared" si="2"/>
        <v/>
      </c>
      <c r="P65" s="105" t="str">
        <f t="shared" ca="1" si="3"/>
        <v>-</v>
      </c>
    </row>
    <row r="66" spans="12:16" ht="16.5" customHeight="1">
      <c r="L66" s="104" t="str">
        <f t="shared" ref="L66:L91" si="4">IF(K66&lt;&gt;"", K66+30, "")</f>
        <v/>
      </c>
      <c r="P66" s="105" t="str">
        <f t="shared" ref="P66:P91" ca="1" si="5">IF(AND(O66&lt;&gt;"", O66&gt;0, L66&lt;&gt;"", TODAY()&gt;L66), "확인요망", "-")</f>
        <v>-</v>
      </c>
    </row>
    <row r="67" spans="12:16" ht="16.5" customHeight="1">
      <c r="L67" s="104" t="str">
        <f t="shared" si="4"/>
        <v/>
      </c>
      <c r="P67" s="105" t="str">
        <f t="shared" ca="1" si="5"/>
        <v>-</v>
      </c>
    </row>
    <row r="68" spans="12:16" ht="16.5" customHeight="1">
      <c r="L68" s="104" t="str">
        <f t="shared" si="4"/>
        <v/>
      </c>
      <c r="P68" s="105" t="str">
        <f t="shared" ca="1" si="5"/>
        <v>-</v>
      </c>
    </row>
    <row r="69" spans="12:16" ht="16.5" customHeight="1">
      <c r="L69" s="104" t="str">
        <f t="shared" si="4"/>
        <v/>
      </c>
      <c r="P69" s="105" t="str">
        <f t="shared" ca="1" si="5"/>
        <v>-</v>
      </c>
    </row>
    <row r="70" spans="12:16" ht="16.5" customHeight="1">
      <c r="L70" s="104" t="str">
        <f t="shared" si="4"/>
        <v/>
      </c>
      <c r="P70" s="105" t="str">
        <f t="shared" ca="1" si="5"/>
        <v>-</v>
      </c>
    </row>
    <row r="71" spans="12:16" ht="16.5" customHeight="1">
      <c r="L71" s="104" t="str">
        <f t="shared" si="4"/>
        <v/>
      </c>
      <c r="P71" s="105" t="str">
        <f t="shared" ca="1" si="5"/>
        <v>-</v>
      </c>
    </row>
    <row r="72" spans="12:16" ht="16.5" customHeight="1">
      <c r="L72" s="104" t="str">
        <f t="shared" si="4"/>
        <v/>
      </c>
      <c r="P72" s="105" t="str">
        <f t="shared" ca="1" si="5"/>
        <v>-</v>
      </c>
    </row>
    <row r="73" spans="12:16" ht="16.5" customHeight="1">
      <c r="L73" s="104" t="str">
        <f t="shared" si="4"/>
        <v/>
      </c>
      <c r="P73" s="105" t="str">
        <f t="shared" ca="1" si="5"/>
        <v>-</v>
      </c>
    </row>
    <row r="74" spans="12:16" ht="16.5" customHeight="1">
      <c r="L74" s="104" t="str">
        <f t="shared" si="4"/>
        <v/>
      </c>
      <c r="P74" s="105" t="str">
        <f t="shared" ca="1" si="5"/>
        <v>-</v>
      </c>
    </row>
    <row r="75" spans="12:16" ht="16.5" customHeight="1">
      <c r="L75" s="104" t="str">
        <f t="shared" si="4"/>
        <v/>
      </c>
      <c r="P75" s="105" t="str">
        <f t="shared" ca="1" si="5"/>
        <v>-</v>
      </c>
    </row>
    <row r="76" spans="12:16" ht="16.5" customHeight="1">
      <c r="L76" s="104" t="str">
        <f t="shared" si="4"/>
        <v/>
      </c>
      <c r="P76" s="105" t="str">
        <f t="shared" ca="1" si="5"/>
        <v>-</v>
      </c>
    </row>
    <row r="77" spans="12:16" ht="16.5" customHeight="1">
      <c r="L77" s="104" t="str">
        <f t="shared" si="4"/>
        <v/>
      </c>
      <c r="P77" s="105" t="str">
        <f t="shared" ca="1" si="5"/>
        <v>-</v>
      </c>
    </row>
    <row r="78" spans="12:16" ht="16.5" customHeight="1">
      <c r="L78" s="104" t="str">
        <f t="shared" si="4"/>
        <v/>
      </c>
      <c r="P78" s="105" t="str">
        <f t="shared" ca="1" si="5"/>
        <v>-</v>
      </c>
    </row>
    <row r="79" spans="12:16" ht="16.5" customHeight="1">
      <c r="L79" s="104" t="str">
        <f t="shared" si="4"/>
        <v/>
      </c>
      <c r="P79" s="105" t="str">
        <f t="shared" ca="1" si="5"/>
        <v>-</v>
      </c>
    </row>
    <row r="80" spans="12:16" ht="16.5" customHeight="1">
      <c r="L80" s="104" t="str">
        <f t="shared" si="4"/>
        <v/>
      </c>
      <c r="P80" s="105" t="str">
        <f t="shared" ca="1" si="5"/>
        <v>-</v>
      </c>
    </row>
    <row r="81" spans="12:16" ht="16.5" customHeight="1">
      <c r="L81" s="104" t="str">
        <f t="shared" si="4"/>
        <v/>
      </c>
      <c r="P81" s="105" t="str">
        <f t="shared" ca="1" si="5"/>
        <v>-</v>
      </c>
    </row>
    <row r="82" spans="12:16" ht="16.5" customHeight="1">
      <c r="L82" s="104" t="str">
        <f t="shared" si="4"/>
        <v/>
      </c>
      <c r="P82" s="105" t="str">
        <f t="shared" ca="1" si="5"/>
        <v>-</v>
      </c>
    </row>
    <row r="83" spans="12:16" ht="16.5" customHeight="1">
      <c r="L83" s="104" t="str">
        <f t="shared" si="4"/>
        <v/>
      </c>
      <c r="P83" s="105" t="str">
        <f t="shared" ca="1" si="5"/>
        <v>-</v>
      </c>
    </row>
    <row r="84" spans="12:16" ht="16.5" customHeight="1">
      <c r="L84" s="104" t="str">
        <f t="shared" si="4"/>
        <v/>
      </c>
      <c r="P84" s="105" t="str">
        <f t="shared" ca="1" si="5"/>
        <v>-</v>
      </c>
    </row>
    <row r="85" spans="12:16" ht="16.5" customHeight="1">
      <c r="L85" s="104" t="str">
        <f t="shared" si="4"/>
        <v/>
      </c>
      <c r="P85" s="105" t="str">
        <f t="shared" ca="1" si="5"/>
        <v>-</v>
      </c>
    </row>
    <row r="86" spans="12:16" ht="16.5" customHeight="1">
      <c r="L86" s="104" t="str">
        <f t="shared" si="4"/>
        <v/>
      </c>
      <c r="P86" s="105" t="str">
        <f t="shared" ca="1" si="5"/>
        <v>-</v>
      </c>
    </row>
    <row r="87" spans="12:16" ht="16.5" customHeight="1">
      <c r="L87" s="104" t="str">
        <f t="shared" si="4"/>
        <v/>
      </c>
      <c r="P87" s="105" t="str">
        <f t="shared" ca="1" si="5"/>
        <v>-</v>
      </c>
    </row>
    <row r="88" spans="12:16" ht="16.5" customHeight="1">
      <c r="L88" s="104" t="str">
        <f t="shared" si="4"/>
        <v/>
      </c>
      <c r="P88" s="105" t="str">
        <f t="shared" ca="1" si="5"/>
        <v>-</v>
      </c>
    </row>
    <row r="89" spans="12:16" ht="16.5" customHeight="1">
      <c r="L89" s="104" t="str">
        <f t="shared" si="4"/>
        <v/>
      </c>
      <c r="P89" s="105" t="str">
        <f t="shared" ca="1" si="5"/>
        <v>-</v>
      </c>
    </row>
    <row r="90" spans="12:16" ht="16.5" customHeight="1">
      <c r="L90" s="104" t="str">
        <f t="shared" si="4"/>
        <v/>
      </c>
      <c r="P90" s="105" t="str">
        <f t="shared" ca="1" si="5"/>
        <v>-</v>
      </c>
    </row>
    <row r="91" spans="12:16" ht="16.5" customHeight="1">
      <c r="L91" s="104" t="str">
        <f t="shared" si="4"/>
        <v/>
      </c>
      <c r="P91" s="105" t="str">
        <f t="shared" ca="1" si="5"/>
        <v>-</v>
      </c>
    </row>
  </sheetData>
  <phoneticPr fontId="1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100"/>
  <sheetViews>
    <sheetView showGridLines="0" workbookViewId="0">
      <selection activeCell="AG23" sqref="AG23"/>
    </sheetView>
  </sheetViews>
  <sheetFormatPr defaultRowHeight="16.5"/>
  <cols>
    <col min="1" max="1" width="11.125" style="1" bestFit="1" customWidth="1"/>
    <col min="2" max="2" width="12.375" style="1" hidden="1" customWidth="1"/>
    <col min="3" max="3" width="9" style="1" hidden="1" customWidth="1"/>
    <col min="4" max="4" width="28.875" style="1" hidden="1" customWidth="1"/>
    <col min="5" max="5" width="10.25" style="1" hidden="1" customWidth="1"/>
    <col min="6" max="6" width="10.25" style="98" hidden="1" customWidth="1"/>
    <col min="7" max="7" width="9.25" style="1" hidden="1" customWidth="1"/>
    <col min="8" max="9" width="19.25" style="1" hidden="1" customWidth="1"/>
    <col min="10" max="10" width="11" style="1" hidden="1" customWidth="1"/>
    <col min="11" max="11" width="38.75" style="1" hidden="1" customWidth="1"/>
    <col min="12" max="12" width="14.625" style="1" bestFit="1" customWidth="1"/>
    <col min="13" max="13" width="25.25" style="1" hidden="1" customWidth="1"/>
    <col min="14" max="14" width="22.375" style="1" hidden="1" customWidth="1"/>
    <col min="15" max="15" width="19" style="1" hidden="1" customWidth="1"/>
    <col min="16" max="16" width="11.125" style="132" bestFit="1" customWidth="1"/>
    <col min="17" max="19" width="9" style="1" hidden="1" customWidth="1"/>
    <col min="20" max="20" width="10.25" style="1" hidden="1" customWidth="1"/>
    <col min="21" max="21" width="13" style="1" hidden="1" customWidth="1"/>
    <col min="22" max="22" width="9.25" style="1" hidden="1" customWidth="1"/>
    <col min="23" max="23" width="15.125" style="1" hidden="1" customWidth="1"/>
    <col min="24" max="32" width="13" style="1" hidden="1" customWidth="1"/>
    <col min="33" max="33" width="20.625" style="1" customWidth="1"/>
    <col min="34" max="36" width="13" style="1" customWidth="1"/>
    <col min="37" max="37" width="10.625" style="1" customWidth="1"/>
  </cols>
  <sheetData>
    <row r="1" spans="1:38" s="97" customFormat="1" ht="25.5" customHeight="1">
      <c r="A1" s="99" t="s">
        <v>48</v>
      </c>
      <c r="B1" s="51" t="s">
        <v>106</v>
      </c>
      <c r="C1" s="51" t="s">
        <v>107</v>
      </c>
      <c r="D1" s="51" t="s">
        <v>108</v>
      </c>
      <c r="E1" s="51" t="s">
        <v>109</v>
      </c>
      <c r="F1" s="51" t="s">
        <v>110</v>
      </c>
      <c r="G1" s="51" t="s">
        <v>111</v>
      </c>
      <c r="H1" s="51" t="s">
        <v>112</v>
      </c>
      <c r="I1" s="51" t="s">
        <v>113</v>
      </c>
      <c r="J1" s="51" t="s">
        <v>114</v>
      </c>
      <c r="K1" s="51" t="s">
        <v>110</v>
      </c>
      <c r="L1" s="99" t="s">
        <v>40</v>
      </c>
      <c r="M1" s="51" t="s">
        <v>112</v>
      </c>
      <c r="N1" s="51" t="s">
        <v>113</v>
      </c>
      <c r="O1" s="51" t="s">
        <v>115</v>
      </c>
      <c r="P1" s="125" t="s">
        <v>96</v>
      </c>
      <c r="Q1" s="51" t="s">
        <v>116</v>
      </c>
      <c r="R1" s="51" t="s">
        <v>117</v>
      </c>
      <c r="S1" s="51" t="s">
        <v>118</v>
      </c>
      <c r="T1" s="51" t="s">
        <v>119</v>
      </c>
      <c r="U1" s="51" t="s">
        <v>120</v>
      </c>
      <c r="V1" s="51" t="s">
        <v>121</v>
      </c>
      <c r="W1" s="51" t="s">
        <v>122</v>
      </c>
      <c r="X1" s="51" t="s">
        <v>123</v>
      </c>
      <c r="Y1" s="51" t="s">
        <v>124</v>
      </c>
      <c r="Z1" s="51" t="s">
        <v>125</v>
      </c>
      <c r="AA1" s="51" t="s">
        <v>126</v>
      </c>
      <c r="AB1" s="51" t="s">
        <v>127</v>
      </c>
      <c r="AC1" s="51" t="s">
        <v>128</v>
      </c>
      <c r="AD1" s="51" t="s">
        <v>129</v>
      </c>
      <c r="AE1" s="51" t="s">
        <v>130</v>
      </c>
      <c r="AF1" s="51" t="s">
        <v>131</v>
      </c>
      <c r="AG1" s="99" t="s">
        <v>41</v>
      </c>
      <c r="AH1" s="99" t="s">
        <v>49</v>
      </c>
      <c r="AI1" s="99" t="s">
        <v>50</v>
      </c>
      <c r="AJ1" s="99" t="s">
        <v>98</v>
      </c>
      <c r="AK1" s="99" t="s">
        <v>132</v>
      </c>
      <c r="AL1" s="33" t="s">
        <v>54</v>
      </c>
    </row>
    <row r="2" spans="1:38">
      <c r="A2" s="116">
        <v>46023</v>
      </c>
      <c r="B2" s="40" t="s">
        <v>133</v>
      </c>
      <c r="C2" s="116" t="s">
        <v>134</v>
      </c>
      <c r="D2" s="116" t="s">
        <v>134</v>
      </c>
      <c r="E2" s="40" t="s">
        <v>135</v>
      </c>
      <c r="F2" s="40"/>
      <c r="G2" s="40" t="s">
        <v>136</v>
      </c>
      <c r="H2" s="40" t="s">
        <v>137</v>
      </c>
      <c r="I2" s="40" t="s">
        <v>138</v>
      </c>
      <c r="J2" s="40" t="s">
        <v>139</v>
      </c>
      <c r="K2" s="40"/>
      <c r="L2" s="40" t="s">
        <v>140</v>
      </c>
      <c r="M2" s="40" t="s">
        <v>141</v>
      </c>
      <c r="N2" s="40" t="s">
        <v>142</v>
      </c>
      <c r="O2" s="40">
        <v>12100000</v>
      </c>
      <c r="P2" s="131">
        <v>11000000</v>
      </c>
      <c r="Q2" s="40">
        <v>1100000</v>
      </c>
      <c r="R2" s="40" t="s">
        <v>143</v>
      </c>
      <c r="S2" s="40" t="s">
        <v>144</v>
      </c>
      <c r="T2" s="40" t="s">
        <v>145</v>
      </c>
      <c r="U2" s="40" t="s">
        <v>146</v>
      </c>
      <c r="V2" s="40" t="s">
        <v>147</v>
      </c>
      <c r="W2" s="40" t="s">
        <v>148</v>
      </c>
      <c r="X2" s="40" t="s">
        <v>149</v>
      </c>
      <c r="Y2" s="40"/>
      <c r="Z2" s="40" t="s">
        <v>134</v>
      </c>
      <c r="AA2" s="40" t="s">
        <v>150</v>
      </c>
      <c r="AB2" s="40"/>
      <c r="AC2" s="40" t="s">
        <v>151</v>
      </c>
      <c r="AD2" s="40" t="s">
        <v>152</v>
      </c>
      <c r="AE2" s="40">
        <v>11000000</v>
      </c>
      <c r="AF2" s="40">
        <v>1100000</v>
      </c>
      <c r="AG2" s="40" t="s">
        <v>153</v>
      </c>
      <c r="AH2" s="110">
        <f>IF(A2&lt;&gt;"", A2+45, "")</f>
        <v>46068</v>
      </c>
      <c r="AI2" s="40"/>
      <c r="AJ2" s="40"/>
      <c r="AK2" s="40"/>
      <c r="AL2" s="111" t="str">
        <f t="shared" ref="AL2:AL33" ca="1" si="0">IF(AND(AK2&lt;&gt;"", AK2&gt;0, AH2&lt;&gt;"", TODAY()&gt;AH2), "확인요망", "-")</f>
        <v>-</v>
      </c>
    </row>
    <row r="3" spans="1:38">
      <c r="AH3" s="104" t="str">
        <f>IF(A3&lt;&gt;"", A3+45, "")</f>
        <v/>
      </c>
      <c r="AL3" s="105" t="str">
        <f t="shared" ca="1" si="0"/>
        <v>-</v>
      </c>
    </row>
    <row r="4" spans="1:38">
      <c r="AH4" s="104" t="str">
        <f>IF(A4&lt;&gt;"", A4+45, "")</f>
        <v/>
      </c>
      <c r="AL4" s="105" t="str">
        <f t="shared" ca="1" si="0"/>
        <v>-</v>
      </c>
    </row>
    <row r="5" spans="1:38">
      <c r="AH5" s="104" t="str">
        <f>IF(A5&lt;&gt;"", A5+45, "")</f>
        <v/>
      </c>
      <c r="AL5" s="105" t="str">
        <f t="shared" ca="1" si="0"/>
        <v>-</v>
      </c>
    </row>
    <row r="6" spans="1:38">
      <c r="AH6" s="104" t="str">
        <f>IF(A6&lt;&gt;"", A6+45, "")</f>
        <v/>
      </c>
      <c r="AL6" s="105" t="str">
        <f t="shared" ca="1" si="0"/>
        <v>-</v>
      </c>
    </row>
    <row r="7" spans="1:38">
      <c r="A7"/>
      <c r="AH7" s="104"/>
      <c r="AL7" s="105" t="str">
        <f t="shared" ca="1" si="0"/>
        <v>-</v>
      </c>
    </row>
    <row r="8" spans="1:38">
      <c r="AH8" s="104" t="str">
        <f t="shared" ref="AH8:AH39" si="1">IF(A8&lt;&gt;"", A8+45, "")</f>
        <v/>
      </c>
      <c r="AL8" s="105" t="str">
        <f t="shared" ca="1" si="0"/>
        <v>-</v>
      </c>
    </row>
    <row r="9" spans="1:38">
      <c r="AH9" s="104" t="str">
        <f t="shared" si="1"/>
        <v/>
      </c>
      <c r="AL9" s="105" t="str">
        <f t="shared" ca="1" si="0"/>
        <v>-</v>
      </c>
    </row>
    <row r="10" spans="1:38">
      <c r="AH10" s="104" t="str">
        <f t="shared" si="1"/>
        <v/>
      </c>
      <c r="AL10" s="105" t="str">
        <f t="shared" ca="1" si="0"/>
        <v>-</v>
      </c>
    </row>
    <row r="11" spans="1:38">
      <c r="AH11" s="104" t="str">
        <f t="shared" si="1"/>
        <v/>
      </c>
      <c r="AL11" s="105" t="str">
        <f t="shared" ca="1" si="0"/>
        <v>-</v>
      </c>
    </row>
    <row r="12" spans="1:38">
      <c r="AH12" s="104" t="str">
        <f t="shared" si="1"/>
        <v/>
      </c>
      <c r="AL12" s="105" t="str">
        <f t="shared" ca="1" si="0"/>
        <v>-</v>
      </c>
    </row>
    <row r="13" spans="1:38">
      <c r="AH13" s="104" t="str">
        <f t="shared" si="1"/>
        <v/>
      </c>
      <c r="AL13" s="105" t="str">
        <f t="shared" ca="1" si="0"/>
        <v>-</v>
      </c>
    </row>
    <row r="14" spans="1:38">
      <c r="AH14" s="104" t="str">
        <f t="shared" si="1"/>
        <v/>
      </c>
      <c r="AL14" s="105" t="str">
        <f t="shared" ca="1" si="0"/>
        <v>-</v>
      </c>
    </row>
    <row r="15" spans="1:38">
      <c r="AH15" s="104" t="str">
        <f t="shared" si="1"/>
        <v/>
      </c>
      <c r="AL15" s="105" t="str">
        <f t="shared" ca="1" si="0"/>
        <v>-</v>
      </c>
    </row>
    <row r="16" spans="1:38">
      <c r="AH16" s="104" t="str">
        <f t="shared" si="1"/>
        <v/>
      </c>
      <c r="AL16" s="105" t="str">
        <f t="shared" ca="1" si="0"/>
        <v>-</v>
      </c>
    </row>
    <row r="17" spans="34:38">
      <c r="AH17" s="104" t="str">
        <f t="shared" si="1"/>
        <v/>
      </c>
      <c r="AL17" s="105" t="str">
        <f t="shared" ca="1" si="0"/>
        <v>-</v>
      </c>
    </row>
    <row r="18" spans="34:38">
      <c r="AH18" s="104" t="str">
        <f t="shared" si="1"/>
        <v/>
      </c>
      <c r="AL18" s="105" t="str">
        <f t="shared" ca="1" si="0"/>
        <v>-</v>
      </c>
    </row>
    <row r="19" spans="34:38">
      <c r="AH19" s="104" t="str">
        <f t="shared" si="1"/>
        <v/>
      </c>
      <c r="AL19" s="105" t="str">
        <f t="shared" ca="1" si="0"/>
        <v>-</v>
      </c>
    </row>
    <row r="20" spans="34:38">
      <c r="AH20" s="104" t="str">
        <f t="shared" si="1"/>
        <v/>
      </c>
      <c r="AL20" s="105" t="str">
        <f t="shared" ca="1" si="0"/>
        <v>-</v>
      </c>
    </row>
    <row r="21" spans="34:38">
      <c r="AH21" s="104" t="str">
        <f t="shared" si="1"/>
        <v/>
      </c>
      <c r="AL21" s="105" t="str">
        <f t="shared" ca="1" si="0"/>
        <v>-</v>
      </c>
    </row>
    <row r="22" spans="34:38">
      <c r="AH22" s="104" t="str">
        <f t="shared" si="1"/>
        <v/>
      </c>
      <c r="AL22" s="105" t="str">
        <f t="shared" ca="1" si="0"/>
        <v>-</v>
      </c>
    </row>
    <row r="23" spans="34:38">
      <c r="AH23" s="104" t="str">
        <f t="shared" si="1"/>
        <v/>
      </c>
      <c r="AL23" s="105" t="str">
        <f t="shared" ca="1" si="0"/>
        <v>-</v>
      </c>
    </row>
    <row r="24" spans="34:38">
      <c r="AH24" s="104" t="str">
        <f t="shared" si="1"/>
        <v/>
      </c>
      <c r="AL24" s="105" t="str">
        <f t="shared" ca="1" si="0"/>
        <v>-</v>
      </c>
    </row>
    <row r="25" spans="34:38">
      <c r="AH25" s="104" t="str">
        <f t="shared" si="1"/>
        <v/>
      </c>
      <c r="AL25" s="105" t="str">
        <f t="shared" ca="1" si="0"/>
        <v>-</v>
      </c>
    </row>
    <row r="26" spans="34:38">
      <c r="AH26" s="104" t="str">
        <f t="shared" si="1"/>
        <v/>
      </c>
      <c r="AL26" s="105" t="str">
        <f t="shared" ca="1" si="0"/>
        <v>-</v>
      </c>
    </row>
    <row r="27" spans="34:38">
      <c r="AH27" s="104" t="str">
        <f t="shared" si="1"/>
        <v/>
      </c>
      <c r="AL27" s="105" t="str">
        <f t="shared" ca="1" si="0"/>
        <v>-</v>
      </c>
    </row>
    <row r="28" spans="34:38">
      <c r="AH28" s="104" t="str">
        <f t="shared" si="1"/>
        <v/>
      </c>
      <c r="AL28" s="105" t="str">
        <f t="shared" ca="1" si="0"/>
        <v>-</v>
      </c>
    </row>
    <row r="29" spans="34:38">
      <c r="AH29" s="104" t="str">
        <f t="shared" si="1"/>
        <v/>
      </c>
      <c r="AL29" s="105" t="str">
        <f t="shared" ca="1" si="0"/>
        <v>-</v>
      </c>
    </row>
    <row r="30" spans="34:38">
      <c r="AH30" s="104" t="str">
        <f t="shared" si="1"/>
        <v/>
      </c>
      <c r="AL30" s="105" t="str">
        <f t="shared" ca="1" si="0"/>
        <v>-</v>
      </c>
    </row>
    <row r="31" spans="34:38">
      <c r="AH31" s="104" t="str">
        <f t="shared" si="1"/>
        <v/>
      </c>
      <c r="AL31" s="105" t="str">
        <f t="shared" ca="1" si="0"/>
        <v>-</v>
      </c>
    </row>
    <row r="32" spans="34:38">
      <c r="AH32" s="104" t="str">
        <f t="shared" si="1"/>
        <v/>
      </c>
      <c r="AL32" s="105" t="str">
        <f t="shared" ca="1" si="0"/>
        <v>-</v>
      </c>
    </row>
    <row r="33" spans="34:38">
      <c r="AH33" s="104" t="str">
        <f t="shared" si="1"/>
        <v/>
      </c>
      <c r="AL33" s="105" t="str">
        <f t="shared" ca="1" si="0"/>
        <v>-</v>
      </c>
    </row>
    <row r="34" spans="34:38">
      <c r="AH34" s="104" t="str">
        <f t="shared" si="1"/>
        <v/>
      </c>
      <c r="AL34" s="105" t="str">
        <f t="shared" ref="AL34:AL65" ca="1" si="2">IF(AND(AK34&lt;&gt;"", AK34&gt;0, AH34&lt;&gt;"", TODAY()&gt;AH34), "확인요망", "-")</f>
        <v>-</v>
      </c>
    </row>
    <row r="35" spans="34:38">
      <c r="AH35" s="104" t="str">
        <f t="shared" si="1"/>
        <v/>
      </c>
      <c r="AL35" s="105" t="str">
        <f t="shared" ca="1" si="2"/>
        <v>-</v>
      </c>
    </row>
    <row r="36" spans="34:38">
      <c r="AH36" s="104" t="str">
        <f t="shared" si="1"/>
        <v/>
      </c>
      <c r="AL36" s="105" t="str">
        <f t="shared" ca="1" si="2"/>
        <v>-</v>
      </c>
    </row>
    <row r="37" spans="34:38">
      <c r="AH37" s="104" t="str">
        <f t="shared" si="1"/>
        <v/>
      </c>
      <c r="AL37" s="105" t="str">
        <f t="shared" ca="1" si="2"/>
        <v>-</v>
      </c>
    </row>
    <row r="38" spans="34:38">
      <c r="AH38" s="104" t="str">
        <f t="shared" si="1"/>
        <v/>
      </c>
      <c r="AL38" s="105" t="str">
        <f t="shared" ca="1" si="2"/>
        <v>-</v>
      </c>
    </row>
    <row r="39" spans="34:38">
      <c r="AH39" s="104" t="str">
        <f t="shared" si="1"/>
        <v/>
      </c>
      <c r="AL39" s="105" t="str">
        <f t="shared" ca="1" si="2"/>
        <v>-</v>
      </c>
    </row>
    <row r="40" spans="34:38">
      <c r="AH40" s="104" t="str">
        <f t="shared" ref="AH40:AH71" si="3">IF(A40&lt;&gt;"", A40+45, "")</f>
        <v/>
      </c>
      <c r="AL40" s="105" t="str">
        <f t="shared" ca="1" si="2"/>
        <v>-</v>
      </c>
    </row>
    <row r="41" spans="34:38">
      <c r="AH41" s="104" t="str">
        <f t="shared" si="3"/>
        <v/>
      </c>
      <c r="AL41" s="105" t="str">
        <f t="shared" ca="1" si="2"/>
        <v>-</v>
      </c>
    </row>
    <row r="42" spans="34:38">
      <c r="AH42" s="104" t="str">
        <f t="shared" si="3"/>
        <v/>
      </c>
      <c r="AL42" s="105" t="str">
        <f t="shared" ca="1" si="2"/>
        <v>-</v>
      </c>
    </row>
    <row r="43" spans="34:38">
      <c r="AH43" s="104" t="str">
        <f t="shared" si="3"/>
        <v/>
      </c>
      <c r="AL43" s="105" t="str">
        <f t="shared" ca="1" si="2"/>
        <v>-</v>
      </c>
    </row>
    <row r="44" spans="34:38">
      <c r="AH44" s="104" t="str">
        <f t="shared" si="3"/>
        <v/>
      </c>
      <c r="AL44" s="105" t="str">
        <f t="shared" ca="1" si="2"/>
        <v>-</v>
      </c>
    </row>
    <row r="45" spans="34:38">
      <c r="AH45" s="104" t="str">
        <f t="shared" si="3"/>
        <v/>
      </c>
      <c r="AL45" s="105" t="str">
        <f t="shared" ca="1" si="2"/>
        <v>-</v>
      </c>
    </row>
    <row r="46" spans="34:38">
      <c r="AH46" s="104" t="str">
        <f t="shared" si="3"/>
        <v/>
      </c>
      <c r="AL46" s="105" t="str">
        <f t="shared" ca="1" si="2"/>
        <v>-</v>
      </c>
    </row>
    <row r="47" spans="34:38">
      <c r="AH47" s="104" t="str">
        <f t="shared" si="3"/>
        <v/>
      </c>
      <c r="AL47" s="105" t="str">
        <f t="shared" ca="1" si="2"/>
        <v>-</v>
      </c>
    </row>
    <row r="48" spans="34:38">
      <c r="AH48" s="104" t="str">
        <f t="shared" si="3"/>
        <v/>
      </c>
      <c r="AL48" s="105" t="str">
        <f t="shared" ca="1" si="2"/>
        <v>-</v>
      </c>
    </row>
    <row r="49" spans="34:38">
      <c r="AH49" s="104" t="str">
        <f t="shared" si="3"/>
        <v/>
      </c>
      <c r="AL49" s="105" t="str">
        <f t="shared" ca="1" si="2"/>
        <v>-</v>
      </c>
    </row>
    <row r="50" spans="34:38">
      <c r="AH50" s="104" t="str">
        <f t="shared" si="3"/>
        <v/>
      </c>
      <c r="AL50" s="105" t="str">
        <f t="shared" ca="1" si="2"/>
        <v>-</v>
      </c>
    </row>
    <row r="51" spans="34:38">
      <c r="AH51" s="104" t="str">
        <f t="shared" si="3"/>
        <v/>
      </c>
      <c r="AL51" s="105" t="str">
        <f t="shared" ca="1" si="2"/>
        <v>-</v>
      </c>
    </row>
    <row r="52" spans="34:38">
      <c r="AH52" s="104" t="str">
        <f t="shared" si="3"/>
        <v/>
      </c>
      <c r="AL52" s="105" t="str">
        <f t="shared" ca="1" si="2"/>
        <v>-</v>
      </c>
    </row>
    <row r="53" spans="34:38">
      <c r="AH53" s="104" t="str">
        <f t="shared" si="3"/>
        <v/>
      </c>
      <c r="AL53" s="105" t="str">
        <f t="shared" ca="1" si="2"/>
        <v>-</v>
      </c>
    </row>
    <row r="54" spans="34:38">
      <c r="AH54" s="104" t="str">
        <f t="shared" si="3"/>
        <v/>
      </c>
      <c r="AL54" s="105" t="str">
        <f t="shared" ca="1" si="2"/>
        <v>-</v>
      </c>
    </row>
    <row r="55" spans="34:38">
      <c r="AH55" s="104" t="str">
        <f t="shared" si="3"/>
        <v/>
      </c>
      <c r="AL55" s="105" t="str">
        <f t="shared" ca="1" si="2"/>
        <v>-</v>
      </c>
    </row>
    <row r="56" spans="34:38">
      <c r="AH56" s="104" t="str">
        <f t="shared" si="3"/>
        <v/>
      </c>
      <c r="AL56" s="105" t="str">
        <f t="shared" ca="1" si="2"/>
        <v>-</v>
      </c>
    </row>
    <row r="57" spans="34:38">
      <c r="AH57" s="104" t="str">
        <f t="shared" si="3"/>
        <v/>
      </c>
      <c r="AL57" s="105" t="str">
        <f t="shared" ca="1" si="2"/>
        <v>-</v>
      </c>
    </row>
    <row r="58" spans="34:38">
      <c r="AH58" s="104" t="str">
        <f t="shared" si="3"/>
        <v/>
      </c>
      <c r="AL58" s="105" t="str">
        <f t="shared" ca="1" si="2"/>
        <v>-</v>
      </c>
    </row>
    <row r="59" spans="34:38">
      <c r="AH59" s="104" t="str">
        <f t="shared" si="3"/>
        <v/>
      </c>
      <c r="AL59" s="105" t="str">
        <f t="shared" ca="1" si="2"/>
        <v>-</v>
      </c>
    </row>
    <row r="60" spans="34:38">
      <c r="AH60" s="104" t="str">
        <f t="shared" si="3"/>
        <v/>
      </c>
      <c r="AL60" s="105" t="str">
        <f t="shared" ca="1" si="2"/>
        <v>-</v>
      </c>
    </row>
    <row r="61" spans="34:38">
      <c r="AH61" s="104" t="str">
        <f t="shared" si="3"/>
        <v/>
      </c>
      <c r="AL61" s="105" t="str">
        <f t="shared" ca="1" si="2"/>
        <v>-</v>
      </c>
    </row>
    <row r="62" spans="34:38">
      <c r="AH62" s="104" t="str">
        <f t="shared" si="3"/>
        <v/>
      </c>
      <c r="AL62" s="105" t="str">
        <f t="shared" ca="1" si="2"/>
        <v>-</v>
      </c>
    </row>
    <row r="63" spans="34:38">
      <c r="AH63" s="104" t="str">
        <f t="shared" si="3"/>
        <v/>
      </c>
      <c r="AL63" s="105" t="str">
        <f t="shared" ca="1" si="2"/>
        <v>-</v>
      </c>
    </row>
    <row r="64" spans="34:38">
      <c r="AH64" s="104" t="str">
        <f t="shared" si="3"/>
        <v/>
      </c>
      <c r="AL64" s="105" t="str">
        <f t="shared" ca="1" si="2"/>
        <v>-</v>
      </c>
    </row>
    <row r="65" spans="34:38">
      <c r="AH65" s="104" t="str">
        <f t="shared" si="3"/>
        <v/>
      </c>
      <c r="AL65" s="105" t="str">
        <f t="shared" ca="1" si="2"/>
        <v>-</v>
      </c>
    </row>
    <row r="66" spans="34:38">
      <c r="AH66" s="104" t="str">
        <f t="shared" si="3"/>
        <v/>
      </c>
      <c r="AL66" s="105" t="str">
        <f t="shared" ref="AL66:AL97" ca="1" si="4">IF(AND(AK66&lt;&gt;"", AK66&gt;0, AH66&lt;&gt;"", TODAY()&gt;AH66), "확인요망", "-")</f>
        <v>-</v>
      </c>
    </row>
    <row r="67" spans="34:38">
      <c r="AH67" s="104" t="str">
        <f t="shared" si="3"/>
        <v/>
      </c>
      <c r="AL67" s="105" t="str">
        <f t="shared" ca="1" si="4"/>
        <v>-</v>
      </c>
    </row>
    <row r="68" spans="34:38">
      <c r="AH68" s="104" t="str">
        <f t="shared" si="3"/>
        <v/>
      </c>
      <c r="AL68" s="105" t="str">
        <f t="shared" ca="1" si="4"/>
        <v>-</v>
      </c>
    </row>
    <row r="69" spans="34:38">
      <c r="AH69" s="104" t="str">
        <f t="shared" si="3"/>
        <v/>
      </c>
      <c r="AL69" s="105" t="str">
        <f t="shared" ca="1" si="4"/>
        <v>-</v>
      </c>
    </row>
    <row r="70" spans="34:38">
      <c r="AH70" s="104" t="str">
        <f t="shared" si="3"/>
        <v/>
      </c>
      <c r="AL70" s="105" t="str">
        <f t="shared" ca="1" si="4"/>
        <v>-</v>
      </c>
    </row>
    <row r="71" spans="34:38">
      <c r="AH71" s="104" t="str">
        <f t="shared" si="3"/>
        <v/>
      </c>
      <c r="AL71" s="105" t="str">
        <f t="shared" ca="1" si="4"/>
        <v>-</v>
      </c>
    </row>
    <row r="72" spans="34:38">
      <c r="AH72" s="104" t="str">
        <f t="shared" ref="AH72:AH100" si="5">IF(A72&lt;&gt;"", A72+45, "")</f>
        <v/>
      </c>
      <c r="AL72" s="105" t="str">
        <f t="shared" ca="1" si="4"/>
        <v>-</v>
      </c>
    </row>
    <row r="73" spans="34:38">
      <c r="AH73" s="104" t="str">
        <f t="shared" si="5"/>
        <v/>
      </c>
      <c r="AL73" s="105" t="str">
        <f t="shared" ca="1" si="4"/>
        <v>-</v>
      </c>
    </row>
    <row r="74" spans="34:38">
      <c r="AH74" s="104" t="str">
        <f t="shared" si="5"/>
        <v/>
      </c>
      <c r="AL74" s="105" t="str">
        <f t="shared" ca="1" si="4"/>
        <v>-</v>
      </c>
    </row>
    <row r="75" spans="34:38">
      <c r="AH75" s="104" t="str">
        <f t="shared" si="5"/>
        <v/>
      </c>
      <c r="AL75" s="105" t="str">
        <f t="shared" ca="1" si="4"/>
        <v>-</v>
      </c>
    </row>
    <row r="76" spans="34:38">
      <c r="AH76" s="104" t="str">
        <f t="shared" si="5"/>
        <v/>
      </c>
      <c r="AL76" s="105" t="str">
        <f t="shared" ca="1" si="4"/>
        <v>-</v>
      </c>
    </row>
    <row r="77" spans="34:38">
      <c r="AH77" s="104" t="str">
        <f t="shared" si="5"/>
        <v/>
      </c>
      <c r="AL77" s="105" t="str">
        <f t="shared" ca="1" si="4"/>
        <v>-</v>
      </c>
    </row>
    <row r="78" spans="34:38">
      <c r="AH78" s="104" t="str">
        <f t="shared" si="5"/>
        <v/>
      </c>
      <c r="AL78" s="105" t="str">
        <f t="shared" ca="1" si="4"/>
        <v>-</v>
      </c>
    </row>
    <row r="79" spans="34:38">
      <c r="AH79" s="104" t="str">
        <f t="shared" si="5"/>
        <v/>
      </c>
      <c r="AL79" s="105" t="str">
        <f t="shared" ca="1" si="4"/>
        <v>-</v>
      </c>
    </row>
    <row r="80" spans="34:38">
      <c r="AH80" s="104" t="str">
        <f t="shared" si="5"/>
        <v/>
      </c>
      <c r="AL80" s="105" t="str">
        <f t="shared" ca="1" si="4"/>
        <v>-</v>
      </c>
    </row>
    <row r="81" spans="34:38">
      <c r="AH81" s="104" t="str">
        <f t="shared" si="5"/>
        <v/>
      </c>
      <c r="AL81" s="105" t="str">
        <f t="shared" ca="1" si="4"/>
        <v>-</v>
      </c>
    </row>
    <row r="82" spans="34:38">
      <c r="AH82" s="104" t="str">
        <f t="shared" si="5"/>
        <v/>
      </c>
      <c r="AL82" s="105" t="str">
        <f t="shared" ca="1" si="4"/>
        <v>-</v>
      </c>
    </row>
    <row r="83" spans="34:38">
      <c r="AH83" s="104" t="str">
        <f t="shared" si="5"/>
        <v/>
      </c>
      <c r="AL83" s="105" t="str">
        <f t="shared" ca="1" si="4"/>
        <v>-</v>
      </c>
    </row>
    <row r="84" spans="34:38">
      <c r="AH84" s="104" t="str">
        <f t="shared" si="5"/>
        <v/>
      </c>
      <c r="AL84" s="105" t="str">
        <f t="shared" ca="1" si="4"/>
        <v>-</v>
      </c>
    </row>
    <row r="85" spans="34:38">
      <c r="AH85" s="104" t="str">
        <f t="shared" si="5"/>
        <v/>
      </c>
      <c r="AL85" s="105" t="str">
        <f t="shared" ca="1" si="4"/>
        <v>-</v>
      </c>
    </row>
    <row r="86" spans="34:38">
      <c r="AH86" s="104" t="str">
        <f t="shared" si="5"/>
        <v/>
      </c>
      <c r="AL86" s="105" t="str">
        <f t="shared" ca="1" si="4"/>
        <v>-</v>
      </c>
    </row>
    <row r="87" spans="34:38">
      <c r="AH87" s="104" t="str">
        <f t="shared" si="5"/>
        <v/>
      </c>
      <c r="AL87" s="105" t="str">
        <f t="shared" ca="1" si="4"/>
        <v>-</v>
      </c>
    </row>
    <row r="88" spans="34:38">
      <c r="AH88" s="104" t="str">
        <f t="shared" si="5"/>
        <v/>
      </c>
      <c r="AL88" s="105" t="str">
        <f t="shared" ca="1" si="4"/>
        <v>-</v>
      </c>
    </row>
    <row r="89" spans="34:38">
      <c r="AH89" s="104" t="str">
        <f t="shared" si="5"/>
        <v/>
      </c>
      <c r="AL89" s="105" t="str">
        <f t="shared" ca="1" si="4"/>
        <v>-</v>
      </c>
    </row>
    <row r="90" spans="34:38">
      <c r="AH90" s="104" t="str">
        <f t="shared" si="5"/>
        <v/>
      </c>
      <c r="AL90" s="105" t="str">
        <f t="shared" ca="1" si="4"/>
        <v>-</v>
      </c>
    </row>
    <row r="91" spans="34:38">
      <c r="AH91" s="104" t="str">
        <f t="shared" si="5"/>
        <v/>
      </c>
      <c r="AL91" s="105" t="str">
        <f t="shared" ca="1" si="4"/>
        <v>-</v>
      </c>
    </row>
    <row r="92" spans="34:38">
      <c r="AH92" s="104" t="str">
        <f t="shared" si="5"/>
        <v/>
      </c>
      <c r="AL92" s="105" t="str">
        <f t="shared" ca="1" si="4"/>
        <v>-</v>
      </c>
    </row>
    <row r="93" spans="34:38">
      <c r="AH93" s="104" t="str">
        <f t="shared" si="5"/>
        <v/>
      </c>
      <c r="AL93" s="105" t="str">
        <f t="shared" ca="1" si="4"/>
        <v>-</v>
      </c>
    </row>
    <row r="94" spans="34:38">
      <c r="AH94" s="104" t="str">
        <f t="shared" si="5"/>
        <v/>
      </c>
      <c r="AL94" s="105" t="str">
        <f t="shared" ca="1" si="4"/>
        <v>-</v>
      </c>
    </row>
    <row r="95" spans="34:38">
      <c r="AH95" s="104" t="str">
        <f t="shared" si="5"/>
        <v/>
      </c>
      <c r="AL95" s="105" t="str">
        <f t="shared" ca="1" si="4"/>
        <v>-</v>
      </c>
    </row>
    <row r="96" spans="34:38">
      <c r="AH96" s="104" t="str">
        <f t="shared" si="5"/>
        <v/>
      </c>
      <c r="AL96" s="105" t="str">
        <f t="shared" ca="1" si="4"/>
        <v>-</v>
      </c>
    </row>
    <row r="97" spans="34:38">
      <c r="AH97" s="104" t="str">
        <f t="shared" si="5"/>
        <v/>
      </c>
      <c r="AL97" s="105" t="str">
        <f t="shared" ca="1" si="4"/>
        <v>-</v>
      </c>
    </row>
    <row r="98" spans="34:38">
      <c r="AH98" s="104" t="str">
        <f t="shared" si="5"/>
        <v/>
      </c>
      <c r="AL98" s="105" t="str">
        <f t="shared" ref="AL98:AL100" ca="1" si="6">IF(AND(AK98&lt;&gt;"", AK98&gt;0, AH98&lt;&gt;"", TODAY()&gt;AH98), "확인요망", "-")</f>
        <v>-</v>
      </c>
    </row>
    <row r="99" spans="34:38">
      <c r="AH99" s="104" t="str">
        <f t="shared" si="5"/>
        <v/>
      </c>
      <c r="AL99" s="105" t="str">
        <f t="shared" ca="1" si="6"/>
        <v>-</v>
      </c>
    </row>
    <row r="100" spans="34:38">
      <c r="AH100" s="104" t="str">
        <f t="shared" si="5"/>
        <v/>
      </c>
      <c r="AL100" s="105" t="str">
        <f t="shared" ca="1" si="6"/>
        <v>-</v>
      </c>
    </row>
  </sheetData>
  <phoneticPr fontId="11" type="noConversion"/>
  <conditionalFormatting sqref="A2:AL2">
    <cfRule type="expression" dxfId="0" priority="1">
      <formula>$J2="잔금"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8.5" defaultRowHeight="16.5"/>
  <sheetData/>
  <phoneticPr fontId="11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S_N솔루션</vt:lpstr>
      <vt:lpstr>특허기술자문료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나영 신</dc:creator>
  <cp:lastModifiedBy>나영 신</cp:lastModifiedBy>
  <cp:revision>0</cp:revision>
  <dcterms:created xsi:type="dcterms:W3CDTF">2025-12-24T04:07:57Z</dcterms:created>
  <dcterms:modified xsi:type="dcterms:W3CDTF">2025-12-29T08:23:23Z</dcterms:modified>
  <dc:language>en-US</dc:language>
</cp:coreProperties>
</file>