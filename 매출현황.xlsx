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넷폼업무\005. 경리업무\2026년\001.일계표_넷폼_26년\"/>
    </mc:Choice>
  </mc:AlternateContent>
  <xr:revisionPtr revIDLastSave="0" documentId="13_ncr:1_{D831146B-73C4-4B22-A655-4C5715734726}" xr6:coauthVersionLast="46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대시보드" sheetId="1" r:id="rId1"/>
    <sheet name="컨설팅" sheetId="2" r:id="rId2"/>
    <sheet name="S_N솔루션" sheetId="4" r:id="rId3"/>
    <sheet name="특허기술자문료" sheetId="5" r:id="rId4"/>
    <sheet name="자재판매" sheetId="6" r:id="rId5"/>
    <sheet name="2025현장 미수금관리" sheetId="7" r:id="rId6"/>
  </sheets>
  <definedNames>
    <definedName name="TotalMonthlyExpenses">SUM(#REF!)</definedName>
    <definedName name="TotalMonthlyIncome">SUM(#REF!)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5" l="1"/>
  <c r="O5" i="5"/>
  <c r="P5" i="5" s="1"/>
  <c r="E161" i="7"/>
  <c r="F161" i="7" s="1"/>
  <c r="I161" i="7" s="1"/>
  <c r="AL6" i="6"/>
  <c r="AK6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G10" i="7"/>
  <c r="AG13" i="7"/>
  <c r="AE10" i="7"/>
  <c r="AE13" i="7"/>
  <c r="E160" i="7" l="1"/>
  <c r="F160" i="7" s="1"/>
  <c r="E159" i="7"/>
  <c r="F159" i="7" s="1"/>
  <c r="I159" i="7" s="1"/>
  <c r="E158" i="7"/>
  <c r="F158" i="7" s="1"/>
  <c r="I158" i="7" s="1"/>
  <c r="E157" i="7"/>
  <c r="F157" i="7" s="1"/>
  <c r="I157" i="7" s="1"/>
  <c r="E156" i="7"/>
  <c r="F156" i="7" s="1"/>
  <c r="I156" i="7" s="1"/>
  <c r="F155" i="7"/>
  <c r="I155" i="7" s="1"/>
  <c r="E155" i="7"/>
  <c r="E154" i="7"/>
  <c r="F154" i="7" s="1"/>
  <c r="I154" i="7" s="1"/>
  <c r="E153" i="7"/>
  <c r="F153" i="7" s="1"/>
  <c r="I153" i="7" s="1"/>
  <c r="E152" i="7"/>
  <c r="F152" i="7" s="1"/>
  <c r="I152" i="7" s="1"/>
  <c r="F151" i="7"/>
  <c r="I151" i="7" s="1"/>
  <c r="E151" i="7"/>
  <c r="E150" i="7"/>
  <c r="F150" i="7" s="1"/>
  <c r="I150" i="7" s="1"/>
  <c r="E149" i="7"/>
  <c r="F149" i="7" s="1"/>
  <c r="I149" i="7" s="1"/>
  <c r="E148" i="7"/>
  <c r="F148" i="7" s="1"/>
  <c r="I148" i="7" s="1"/>
  <c r="E147" i="7"/>
  <c r="F147" i="7" s="1"/>
  <c r="I147" i="7" s="1"/>
  <c r="F146" i="7"/>
  <c r="I146" i="7" s="1"/>
  <c r="E146" i="7"/>
  <c r="E145" i="7"/>
  <c r="F145" i="7" s="1"/>
  <c r="I145" i="7" s="1"/>
  <c r="E144" i="7"/>
  <c r="F144" i="7" s="1"/>
  <c r="I144" i="7" s="1"/>
  <c r="E143" i="7"/>
  <c r="F143" i="7" s="1"/>
  <c r="I143" i="7" s="1"/>
  <c r="E142" i="7"/>
  <c r="F142" i="7" s="1"/>
  <c r="I142" i="7" s="1"/>
  <c r="E141" i="7"/>
  <c r="F141" i="7" s="1"/>
  <c r="I141" i="7" s="1"/>
  <c r="E140" i="7"/>
  <c r="F140" i="7" s="1"/>
  <c r="I140" i="7" s="1"/>
  <c r="E139" i="7"/>
  <c r="F139" i="7" s="1"/>
  <c r="I139" i="7" s="1"/>
  <c r="E138" i="7"/>
  <c r="F138" i="7" s="1"/>
  <c r="I138" i="7" s="1"/>
  <c r="E137" i="7"/>
  <c r="F137" i="7" s="1"/>
  <c r="I137" i="7" s="1"/>
  <c r="E136" i="7"/>
  <c r="F136" i="7" s="1"/>
  <c r="I136" i="7" s="1"/>
  <c r="E135" i="7"/>
  <c r="F135" i="7" s="1"/>
  <c r="I135" i="7" s="1"/>
  <c r="E134" i="7"/>
  <c r="F134" i="7" s="1"/>
  <c r="I134" i="7" s="1"/>
  <c r="E133" i="7"/>
  <c r="F133" i="7" s="1"/>
  <c r="I133" i="7" s="1"/>
  <c r="E132" i="7"/>
  <c r="F132" i="7" s="1"/>
  <c r="I132" i="7" s="1"/>
  <c r="E131" i="7"/>
  <c r="F131" i="7" s="1"/>
  <c r="I131" i="7" s="1"/>
  <c r="E130" i="7"/>
  <c r="F130" i="7" s="1"/>
  <c r="I130" i="7" s="1"/>
  <c r="E129" i="7"/>
  <c r="F129" i="7" s="1"/>
  <c r="I129" i="7" s="1"/>
  <c r="E128" i="7"/>
  <c r="F128" i="7" s="1"/>
  <c r="I128" i="7" s="1"/>
  <c r="F127" i="7"/>
  <c r="I127" i="7" s="1"/>
  <c r="E127" i="7"/>
  <c r="E126" i="7"/>
  <c r="F126" i="7" s="1"/>
  <c r="I126" i="7" s="1"/>
  <c r="E125" i="7"/>
  <c r="F125" i="7" s="1"/>
  <c r="I125" i="7" s="1"/>
  <c r="E124" i="7"/>
  <c r="F124" i="7" s="1"/>
  <c r="I124" i="7" s="1"/>
  <c r="E123" i="7"/>
  <c r="F123" i="7" s="1"/>
  <c r="I123" i="7" s="1"/>
  <c r="E122" i="7"/>
  <c r="F122" i="7" s="1"/>
  <c r="I122" i="7" s="1"/>
  <c r="E121" i="7"/>
  <c r="F121" i="7" s="1"/>
  <c r="I121" i="7" s="1"/>
  <c r="E120" i="7"/>
  <c r="F120" i="7" s="1"/>
  <c r="I120" i="7" s="1"/>
  <c r="E119" i="7"/>
  <c r="F119" i="7" s="1"/>
  <c r="I119" i="7" s="1"/>
  <c r="E118" i="7"/>
  <c r="F118" i="7" s="1"/>
  <c r="I118" i="7" s="1"/>
  <c r="E117" i="7"/>
  <c r="F117" i="7" s="1"/>
  <c r="I117" i="7" s="1"/>
  <c r="E116" i="7"/>
  <c r="F116" i="7" s="1"/>
  <c r="I116" i="7" s="1"/>
  <c r="E115" i="7"/>
  <c r="F115" i="7" s="1"/>
  <c r="I115" i="7" s="1"/>
  <c r="E114" i="7"/>
  <c r="F114" i="7" s="1"/>
  <c r="I114" i="7" s="1"/>
  <c r="E113" i="7"/>
  <c r="F113" i="7" s="1"/>
  <c r="I113" i="7" s="1"/>
  <c r="E112" i="7"/>
  <c r="F112" i="7" s="1"/>
  <c r="I112" i="7" s="1"/>
  <c r="E111" i="7"/>
  <c r="F111" i="7" s="1"/>
  <c r="I111" i="7" s="1"/>
  <c r="F110" i="7"/>
  <c r="I110" i="7" s="1"/>
  <c r="E110" i="7"/>
  <c r="E109" i="7"/>
  <c r="F109" i="7" s="1"/>
  <c r="I109" i="7" s="1"/>
  <c r="E108" i="7"/>
  <c r="F108" i="7" s="1"/>
  <c r="I108" i="7" s="1"/>
  <c r="E107" i="7"/>
  <c r="F107" i="7" s="1"/>
  <c r="I107" i="7" s="1"/>
  <c r="E106" i="7"/>
  <c r="F106" i="7" s="1"/>
  <c r="I106" i="7" s="1"/>
  <c r="E105" i="7"/>
  <c r="F105" i="7" s="1"/>
  <c r="I105" i="7" s="1"/>
  <c r="E104" i="7"/>
  <c r="F104" i="7" s="1"/>
  <c r="I104" i="7" s="1"/>
  <c r="E103" i="7"/>
  <c r="F103" i="7" s="1"/>
  <c r="I103" i="7" s="1"/>
  <c r="E102" i="7"/>
  <c r="F102" i="7" s="1"/>
  <c r="I102" i="7" s="1"/>
  <c r="E101" i="7"/>
  <c r="F101" i="7" s="1"/>
  <c r="I101" i="7" s="1"/>
  <c r="F100" i="7"/>
  <c r="I100" i="7" s="1"/>
  <c r="E100" i="7"/>
  <c r="E99" i="7"/>
  <c r="F99" i="7" s="1"/>
  <c r="I99" i="7" s="1"/>
  <c r="E98" i="7"/>
  <c r="F98" i="7" s="1"/>
  <c r="I98" i="7" s="1"/>
  <c r="E97" i="7"/>
  <c r="F97" i="7" s="1"/>
  <c r="I97" i="7" s="1"/>
  <c r="E96" i="7"/>
  <c r="F96" i="7" s="1"/>
  <c r="I96" i="7" s="1"/>
  <c r="E95" i="7"/>
  <c r="F95" i="7" s="1"/>
  <c r="I95" i="7" s="1"/>
  <c r="E94" i="7"/>
  <c r="F94" i="7" s="1"/>
  <c r="I94" i="7" s="1"/>
  <c r="E93" i="7"/>
  <c r="F93" i="7" s="1"/>
  <c r="I93" i="7" s="1"/>
  <c r="E92" i="7"/>
  <c r="F92" i="7" s="1"/>
  <c r="I92" i="7" s="1"/>
  <c r="E91" i="7"/>
  <c r="F91" i="7" s="1"/>
  <c r="I91" i="7" s="1"/>
  <c r="E90" i="7"/>
  <c r="F90" i="7" s="1"/>
  <c r="I90" i="7" s="1"/>
  <c r="E89" i="7"/>
  <c r="F89" i="7" s="1"/>
  <c r="I89" i="7" s="1"/>
  <c r="E88" i="7"/>
  <c r="F88" i="7" s="1"/>
  <c r="I88" i="7" s="1"/>
  <c r="E87" i="7"/>
  <c r="F87" i="7" s="1"/>
  <c r="I87" i="7" s="1"/>
  <c r="E86" i="7"/>
  <c r="F86" i="7" s="1"/>
  <c r="I86" i="7" s="1"/>
  <c r="E85" i="7"/>
  <c r="F85" i="7" s="1"/>
  <c r="I85" i="7" s="1"/>
  <c r="E84" i="7"/>
  <c r="F84" i="7" s="1"/>
  <c r="I84" i="7" s="1"/>
  <c r="E83" i="7"/>
  <c r="F83" i="7" s="1"/>
  <c r="I83" i="7" s="1"/>
  <c r="E82" i="7"/>
  <c r="F82" i="7" s="1"/>
  <c r="I82" i="7" s="1"/>
  <c r="E81" i="7"/>
  <c r="F81" i="7" s="1"/>
  <c r="I81" i="7" s="1"/>
  <c r="H80" i="7"/>
  <c r="E80" i="7"/>
  <c r="F80" i="7" s="1"/>
  <c r="I80" i="7" s="1"/>
  <c r="E79" i="7"/>
  <c r="F79" i="7" s="1"/>
  <c r="I79" i="7" s="1"/>
  <c r="F78" i="7"/>
  <c r="I78" i="7" s="1"/>
  <c r="E78" i="7"/>
  <c r="E77" i="7"/>
  <c r="F77" i="7" s="1"/>
  <c r="I77" i="7" s="1"/>
  <c r="E76" i="7"/>
  <c r="F76" i="7" s="1"/>
  <c r="I76" i="7" s="1"/>
  <c r="E75" i="7"/>
  <c r="F75" i="7" s="1"/>
  <c r="I75" i="7" s="1"/>
  <c r="AD70" i="7"/>
  <c r="AC70" i="7"/>
  <c r="AB70" i="7"/>
  <c r="AB69" i="7"/>
  <c r="I69" i="7"/>
  <c r="AB68" i="7"/>
  <c r="V68" i="7"/>
  <c r="I68" i="7"/>
  <c r="E68" i="7"/>
  <c r="O63" i="7"/>
  <c r="Q63" i="7" s="1"/>
  <c r="J63" i="7"/>
  <c r="F63" i="7"/>
  <c r="A63" i="7"/>
  <c r="K62" i="7"/>
  <c r="O62" i="7" s="1"/>
  <c r="J62" i="7"/>
  <c r="O61" i="7"/>
  <c r="P61" i="7" s="1"/>
  <c r="F61" i="7"/>
  <c r="J61" i="7" s="1"/>
  <c r="O60" i="7"/>
  <c r="P60" i="7" s="1"/>
  <c r="F60" i="7"/>
  <c r="J60" i="7" s="1"/>
  <c r="O59" i="7"/>
  <c r="P59" i="7" s="1"/>
  <c r="F59" i="7"/>
  <c r="J59" i="7" s="1"/>
  <c r="O58" i="7"/>
  <c r="P58" i="7" s="1"/>
  <c r="E58" i="7"/>
  <c r="F58" i="7" s="1"/>
  <c r="J58" i="7" s="1"/>
  <c r="O57" i="7"/>
  <c r="P57" i="7" s="1"/>
  <c r="F57" i="7"/>
  <c r="J57" i="7" s="1"/>
  <c r="O56" i="7"/>
  <c r="P56" i="7" s="1"/>
  <c r="F56" i="7"/>
  <c r="J56" i="7" s="1"/>
  <c r="O55" i="7"/>
  <c r="P55" i="7" s="1"/>
  <c r="F55" i="7"/>
  <c r="J55" i="7" s="1"/>
  <c r="O54" i="7"/>
  <c r="P54" i="7" s="1"/>
  <c r="F54" i="7"/>
  <c r="J54" i="7" s="1"/>
  <c r="O53" i="7"/>
  <c r="P53" i="7" s="1"/>
  <c r="F53" i="7"/>
  <c r="J53" i="7" s="1"/>
  <c r="P52" i="7"/>
  <c r="O52" i="7"/>
  <c r="F52" i="7"/>
  <c r="J52" i="7" s="1"/>
  <c r="O51" i="7"/>
  <c r="F51" i="7"/>
  <c r="J51" i="7" s="1"/>
  <c r="Q51" i="7" s="1"/>
  <c r="O50" i="7"/>
  <c r="P50" i="7" s="1"/>
  <c r="F50" i="7"/>
  <c r="J50" i="7" s="1"/>
  <c r="O49" i="7"/>
  <c r="P49" i="7" s="1"/>
  <c r="F49" i="7"/>
  <c r="J49" i="7" s="1"/>
  <c r="O48" i="7"/>
  <c r="P48" i="7" s="1"/>
  <c r="F48" i="7"/>
  <c r="J48" i="7" s="1"/>
  <c r="O47" i="7"/>
  <c r="P47" i="7" s="1"/>
  <c r="F47" i="7"/>
  <c r="J47" i="7" s="1"/>
  <c r="Q47" i="7" s="1"/>
  <c r="O46" i="7"/>
  <c r="Q46" i="7" s="1"/>
  <c r="J46" i="7"/>
  <c r="F46" i="7"/>
  <c r="P46" i="7" s="1"/>
  <c r="O45" i="7"/>
  <c r="J45" i="7"/>
  <c r="F45" i="7"/>
  <c r="P45" i="7" s="1"/>
  <c r="P44" i="7"/>
  <c r="O44" i="7"/>
  <c r="K44" i="7"/>
  <c r="J44" i="7"/>
  <c r="O43" i="7"/>
  <c r="J43" i="7"/>
  <c r="F43" i="7"/>
  <c r="P43" i="7" s="1"/>
  <c r="O42" i="7"/>
  <c r="Q42" i="7" s="1"/>
  <c r="J42" i="7"/>
  <c r="F42" i="7"/>
  <c r="P42" i="7" s="1"/>
  <c r="O41" i="7"/>
  <c r="Q41" i="7" s="1"/>
  <c r="K41" i="7"/>
  <c r="P41" i="7" s="1"/>
  <c r="J41" i="7"/>
  <c r="O40" i="7"/>
  <c r="Q40" i="7" s="1"/>
  <c r="K40" i="7"/>
  <c r="P40" i="7" s="1"/>
  <c r="J40" i="7"/>
  <c r="O39" i="7"/>
  <c r="J39" i="7"/>
  <c r="F39" i="7"/>
  <c r="P39" i="7" s="1"/>
  <c r="O38" i="7"/>
  <c r="J38" i="7"/>
  <c r="F38" i="7"/>
  <c r="P38" i="7" s="1"/>
  <c r="O37" i="7"/>
  <c r="J37" i="7"/>
  <c r="F37" i="7"/>
  <c r="P37" i="7" s="1"/>
  <c r="O36" i="7"/>
  <c r="J36" i="7"/>
  <c r="F36" i="7"/>
  <c r="P36" i="7" s="1"/>
  <c r="O35" i="7"/>
  <c r="K35" i="7"/>
  <c r="P35" i="7" s="1"/>
  <c r="J35" i="7"/>
  <c r="O34" i="7"/>
  <c r="J34" i="7"/>
  <c r="F34" i="7"/>
  <c r="P34" i="7" s="1"/>
  <c r="O33" i="7"/>
  <c r="J33" i="7"/>
  <c r="F33" i="7"/>
  <c r="P33" i="7" s="1"/>
  <c r="O32" i="7"/>
  <c r="J32" i="7"/>
  <c r="F32" i="7"/>
  <c r="P32" i="7" s="1"/>
  <c r="O31" i="7"/>
  <c r="J31" i="7"/>
  <c r="F31" i="7"/>
  <c r="P31" i="7" s="1"/>
  <c r="O30" i="7"/>
  <c r="K30" i="7"/>
  <c r="P30" i="7" s="1"/>
  <c r="J30" i="7"/>
  <c r="O29" i="7"/>
  <c r="J29" i="7"/>
  <c r="F29" i="7"/>
  <c r="P29" i="7" s="1"/>
  <c r="O28" i="7"/>
  <c r="K28" i="7"/>
  <c r="P28" i="7" s="1"/>
  <c r="J28" i="7"/>
  <c r="O27" i="7"/>
  <c r="K27" i="7"/>
  <c r="P27" i="7" s="1"/>
  <c r="J27" i="7"/>
  <c r="A27" i="7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O26" i="7"/>
  <c r="J26" i="7"/>
  <c r="F26" i="7"/>
  <c r="P26" i="7" s="1"/>
  <c r="BA21" i="7"/>
  <c r="BB21" i="7" s="1"/>
  <c r="AX21" i="7"/>
  <c r="AY21" i="7" s="1"/>
  <c r="X21" i="7"/>
  <c r="U21" i="7"/>
  <c r="P21" i="7"/>
  <c r="K21" i="7"/>
  <c r="F21" i="7"/>
  <c r="W21" i="7" s="1"/>
  <c r="BA20" i="7"/>
  <c r="BB20" i="7" s="1"/>
  <c r="AX20" i="7"/>
  <c r="AY20" i="7" s="1"/>
  <c r="X20" i="7"/>
  <c r="W20" i="7"/>
  <c r="U20" i="7"/>
  <c r="K20" i="7"/>
  <c r="F20" i="7"/>
  <c r="L20" i="7" s="1"/>
  <c r="BA19" i="7"/>
  <c r="BB19" i="7" s="1"/>
  <c r="AY19" i="7"/>
  <c r="AX19" i="7"/>
  <c r="X19" i="7"/>
  <c r="U19" i="7"/>
  <c r="K19" i="7"/>
  <c r="F19" i="7"/>
  <c r="L19" i="7" s="1"/>
  <c r="BA18" i="7"/>
  <c r="BB18" i="7" s="1"/>
  <c r="AX18" i="7"/>
  <c r="AY18" i="7" s="1"/>
  <c r="X18" i="7"/>
  <c r="W18" i="7"/>
  <c r="U18" i="7"/>
  <c r="L18" i="7"/>
  <c r="P18" i="7" s="1"/>
  <c r="G18" i="7"/>
  <c r="K18" i="7" s="1"/>
  <c r="BA17" i="7"/>
  <c r="BB17" i="7" s="1"/>
  <c r="AX17" i="7"/>
  <c r="AY17" i="7" s="1"/>
  <c r="X17" i="7"/>
  <c r="U17" i="7"/>
  <c r="P17" i="7"/>
  <c r="L17" i="7"/>
  <c r="K17" i="7"/>
  <c r="F17" i="7"/>
  <c r="G17" i="7" s="1"/>
  <c r="V17" i="7" s="1"/>
  <c r="BA16" i="7"/>
  <c r="BB16" i="7" s="1"/>
  <c r="AX16" i="7"/>
  <c r="AY16" i="7" s="1"/>
  <c r="X16" i="7"/>
  <c r="U16" i="7"/>
  <c r="P16" i="7"/>
  <c r="K16" i="7"/>
  <c r="F16" i="7"/>
  <c r="W16" i="7" s="1"/>
  <c r="BA15" i="7"/>
  <c r="BB15" i="7" s="1"/>
  <c r="AX15" i="7"/>
  <c r="AY15" i="7" s="1"/>
  <c r="X15" i="7"/>
  <c r="U15" i="7"/>
  <c r="P15" i="7"/>
  <c r="L15" i="7"/>
  <c r="V15" i="7" s="1"/>
  <c r="K15" i="7"/>
  <c r="F15" i="7"/>
  <c r="W15" i="7" s="1"/>
  <c r="BA14" i="7"/>
  <c r="BB14" i="7" s="1"/>
  <c r="AX14" i="7"/>
  <c r="AY14" i="7" s="1"/>
  <c r="X14" i="7"/>
  <c r="U14" i="7"/>
  <c r="P14" i="7"/>
  <c r="K14" i="7"/>
  <c r="F14" i="7"/>
  <c r="L14" i="7" s="1"/>
  <c r="BA12" i="7"/>
  <c r="BB12" i="7" s="1"/>
  <c r="AX12" i="7"/>
  <c r="AY12" i="7" s="1"/>
  <c r="AH12" i="7"/>
  <c r="X12" i="7"/>
  <c r="U12" i="7"/>
  <c r="K12" i="7"/>
  <c r="F12" i="7"/>
  <c r="W12" i="7" s="1"/>
  <c r="Y12" i="7" s="1"/>
  <c r="AE12" i="7" s="1"/>
  <c r="BA11" i="7"/>
  <c r="BB11" i="7" s="1"/>
  <c r="AX11" i="7"/>
  <c r="AY11" i="7" s="1"/>
  <c r="AH11" i="7"/>
  <c r="X11" i="7"/>
  <c r="U11" i="7"/>
  <c r="F11" i="7"/>
  <c r="W11" i="7" s="1"/>
  <c r="BA10" i="7"/>
  <c r="BB10" i="7" s="1"/>
  <c r="AX10" i="7"/>
  <c r="AY10" i="7" s="1"/>
  <c r="AR9" i="7"/>
  <c r="X9" i="7" s="1"/>
  <c r="Y9" i="7" s="1"/>
  <c r="AE9" i="7" s="1"/>
  <c r="AL9" i="7"/>
  <c r="AH9" i="7"/>
  <c r="V9" i="7"/>
  <c r="U9" i="7"/>
  <c r="P9" i="7"/>
  <c r="K9" i="7"/>
  <c r="AG9" i="7" s="1"/>
  <c r="BA8" i="7"/>
  <c r="BB8" i="7" s="1"/>
  <c r="AX8" i="7"/>
  <c r="AY8" i="7" s="1"/>
  <c r="AH8" i="7"/>
  <c r="X8" i="7"/>
  <c r="W8" i="7"/>
  <c r="U8" i="7"/>
  <c r="P8" i="7"/>
  <c r="K8" i="7"/>
  <c r="G8" i="7"/>
  <c r="F8" i="7"/>
  <c r="L8" i="7" s="1"/>
  <c r="AH7" i="7"/>
  <c r="X7" i="7"/>
  <c r="V7" i="7"/>
  <c r="U7" i="7"/>
  <c r="P7" i="7"/>
  <c r="K7" i="7"/>
  <c r="E7" i="7"/>
  <c r="BA7" i="7" s="1"/>
  <c r="BB7" i="7" s="1"/>
  <c r="AR6" i="7"/>
  <c r="X6" i="7" s="1"/>
  <c r="AL6" i="7"/>
  <c r="AH6" i="7"/>
  <c r="V6" i="7"/>
  <c r="U6" i="7"/>
  <c r="P6" i="7"/>
  <c r="K6" i="7"/>
  <c r="E6" i="7"/>
  <c r="F6" i="7" s="1"/>
  <c r="W6" i="7" s="1"/>
  <c r="AY5" i="7"/>
  <c r="AX5" i="7"/>
  <c r="AR5" i="7"/>
  <c r="X5" i="7" s="1"/>
  <c r="AH5" i="7"/>
  <c r="U5" i="7"/>
  <c r="P5" i="7"/>
  <c r="K5" i="7"/>
  <c r="F5" i="7"/>
  <c r="G5" i="7" s="1"/>
  <c r="AK34" i="6"/>
  <c r="AL34" i="6" s="1"/>
  <c r="AH34" i="6"/>
  <c r="AK33" i="6"/>
  <c r="AL33" i="6" s="1"/>
  <c r="AH33" i="6"/>
  <c r="AL32" i="6"/>
  <c r="AK32" i="6"/>
  <c r="AH32" i="6"/>
  <c r="AL31" i="6"/>
  <c r="AK31" i="6"/>
  <c r="AH31" i="6"/>
  <c r="AK30" i="6"/>
  <c r="AL30" i="6" s="1"/>
  <c r="AH30" i="6"/>
  <c r="AL29" i="6"/>
  <c r="AK29" i="6"/>
  <c r="AH29" i="6"/>
  <c r="AL28" i="6"/>
  <c r="AK28" i="6"/>
  <c r="AH28" i="6"/>
  <c r="AK27" i="6"/>
  <c r="AL27" i="6" s="1"/>
  <c r="AH27" i="6"/>
  <c r="AK26" i="6"/>
  <c r="AL26" i="6" s="1"/>
  <c r="AH26" i="6"/>
  <c r="AL25" i="6"/>
  <c r="AK25" i="6"/>
  <c r="AH25" i="6"/>
  <c r="AL24" i="6"/>
  <c r="AK24" i="6"/>
  <c r="AH24" i="6"/>
  <c r="AL23" i="6"/>
  <c r="AK23" i="6"/>
  <c r="AH23" i="6"/>
  <c r="AL22" i="6"/>
  <c r="AK22" i="6"/>
  <c r="AH22" i="6"/>
  <c r="AK21" i="6"/>
  <c r="AL21" i="6" s="1"/>
  <c r="AH21" i="6"/>
  <c r="AL20" i="6"/>
  <c r="AK20" i="6"/>
  <c r="AH20" i="6"/>
  <c r="AL19" i="6"/>
  <c r="AK19" i="6"/>
  <c r="AK18" i="6"/>
  <c r="AL18" i="6" s="1"/>
  <c r="AK17" i="6"/>
  <c r="AL17" i="6" s="1"/>
  <c r="AL16" i="6"/>
  <c r="AK16" i="6"/>
  <c r="AL15" i="6"/>
  <c r="AK15" i="6"/>
  <c r="AK14" i="6"/>
  <c r="AL14" i="6" s="1"/>
  <c r="AK13" i="6"/>
  <c r="AL13" i="6" s="1"/>
  <c r="AK12" i="6"/>
  <c r="AL12" i="6" s="1"/>
  <c r="AL11" i="6"/>
  <c r="AK11" i="6"/>
  <c r="AK10" i="6"/>
  <c r="AL10" i="6" s="1"/>
  <c r="AL9" i="6"/>
  <c r="AK9" i="6"/>
  <c r="AL8" i="6"/>
  <c r="AK8" i="6"/>
  <c r="AK7" i="6"/>
  <c r="AL7" i="6" s="1"/>
  <c r="G28" i="1"/>
  <c r="AL5" i="6"/>
  <c r="AK5" i="6"/>
  <c r="AH5" i="6"/>
  <c r="AL4" i="6"/>
  <c r="AK4" i="6"/>
  <c r="AH4" i="6"/>
  <c r="AL3" i="6"/>
  <c r="AK3" i="6"/>
  <c r="AH3" i="6"/>
  <c r="AL2" i="6"/>
  <c r="AK2" i="6"/>
  <c r="AH2" i="6"/>
  <c r="L4" i="5"/>
  <c r="I4" i="5"/>
  <c r="O4" i="5" s="1"/>
  <c r="O3" i="5"/>
  <c r="P3" i="5" s="1"/>
  <c r="L3" i="5"/>
  <c r="I3" i="5"/>
  <c r="E17" i="1" s="1"/>
  <c r="P2" i="5"/>
  <c r="O2" i="5"/>
  <c r="L2" i="5"/>
  <c r="I2" i="5"/>
  <c r="L3" i="4"/>
  <c r="H3" i="4"/>
  <c r="O3" i="4" s="1"/>
  <c r="B3" i="4"/>
  <c r="P2" i="4"/>
  <c r="O2" i="4"/>
  <c r="L2" i="4"/>
  <c r="H2" i="4"/>
  <c r="S87" i="2"/>
  <c r="M87" i="2"/>
  <c r="S86" i="2"/>
  <c r="M86" i="2"/>
  <c r="S85" i="2"/>
  <c r="M85" i="2"/>
  <c r="S84" i="2"/>
  <c r="M84" i="2"/>
  <c r="S83" i="2"/>
  <c r="M83" i="2"/>
  <c r="S82" i="2"/>
  <c r="M82" i="2"/>
  <c r="S81" i="2"/>
  <c r="M81" i="2"/>
  <c r="S80" i="2"/>
  <c r="M80" i="2"/>
  <c r="S79" i="2"/>
  <c r="M79" i="2"/>
  <c r="S78" i="2"/>
  <c r="M78" i="2"/>
  <c r="S77" i="2"/>
  <c r="M77" i="2"/>
  <c r="S76" i="2"/>
  <c r="M76" i="2"/>
  <c r="S75" i="2"/>
  <c r="M75" i="2"/>
  <c r="S74" i="2"/>
  <c r="M74" i="2"/>
  <c r="S73" i="2"/>
  <c r="M73" i="2"/>
  <c r="S72" i="2"/>
  <c r="M72" i="2"/>
  <c r="S71" i="2"/>
  <c r="M71" i="2"/>
  <c r="S70" i="2"/>
  <c r="M70" i="2"/>
  <c r="S69" i="2"/>
  <c r="M69" i="2"/>
  <c r="S68" i="2"/>
  <c r="M68" i="2"/>
  <c r="S67" i="2"/>
  <c r="M67" i="2"/>
  <c r="S66" i="2"/>
  <c r="M66" i="2"/>
  <c r="S65" i="2"/>
  <c r="M65" i="2"/>
  <c r="S64" i="2"/>
  <c r="M64" i="2"/>
  <c r="S63" i="2"/>
  <c r="M63" i="2"/>
  <c r="S62" i="2"/>
  <c r="M62" i="2"/>
  <c r="S61" i="2"/>
  <c r="M61" i="2"/>
  <c r="S60" i="2"/>
  <c r="M60" i="2"/>
  <c r="S59" i="2"/>
  <c r="M59" i="2"/>
  <c r="S58" i="2"/>
  <c r="M58" i="2"/>
  <c r="S57" i="2"/>
  <c r="M57" i="2"/>
  <c r="S56" i="2"/>
  <c r="M56" i="2"/>
  <c r="S55" i="2"/>
  <c r="M55" i="2"/>
  <c r="S54" i="2"/>
  <c r="M54" i="2"/>
  <c r="S53" i="2"/>
  <c r="M53" i="2"/>
  <c r="S52" i="2"/>
  <c r="M52" i="2"/>
  <c r="S51" i="2"/>
  <c r="M51" i="2"/>
  <c r="S50" i="2"/>
  <c r="M50" i="2"/>
  <c r="S49" i="2"/>
  <c r="M49" i="2"/>
  <c r="S48" i="2"/>
  <c r="M48" i="2"/>
  <c r="S47" i="2"/>
  <c r="M47" i="2"/>
  <c r="S46" i="2"/>
  <c r="M46" i="2"/>
  <c r="S45" i="2"/>
  <c r="M45" i="2"/>
  <c r="S44" i="2"/>
  <c r="M44" i="2"/>
  <c r="S43" i="2"/>
  <c r="M43" i="2"/>
  <c r="S42" i="2"/>
  <c r="M42" i="2"/>
  <c r="S41" i="2"/>
  <c r="M41" i="2"/>
  <c r="S40" i="2"/>
  <c r="M40" i="2"/>
  <c r="S39" i="2"/>
  <c r="M39" i="2"/>
  <c r="S38" i="2"/>
  <c r="M38" i="2"/>
  <c r="S37" i="2"/>
  <c r="M37" i="2"/>
  <c r="S36" i="2"/>
  <c r="M36" i="2"/>
  <c r="S35" i="2"/>
  <c r="M35" i="2"/>
  <c r="S34" i="2"/>
  <c r="M34" i="2"/>
  <c r="S33" i="2"/>
  <c r="M33" i="2"/>
  <c r="S32" i="2"/>
  <c r="M32" i="2"/>
  <c r="S31" i="2"/>
  <c r="M31" i="2"/>
  <c r="S30" i="2"/>
  <c r="M30" i="2"/>
  <c r="S29" i="2"/>
  <c r="M29" i="2"/>
  <c r="S28" i="2"/>
  <c r="M28" i="2"/>
  <c r="S27" i="2"/>
  <c r="M27" i="2"/>
  <c r="S26" i="2"/>
  <c r="M26" i="2"/>
  <c r="R25" i="2"/>
  <c r="M25" i="2"/>
  <c r="J25" i="2"/>
  <c r="E25" i="2"/>
  <c r="D25" i="2"/>
  <c r="R24" i="2"/>
  <c r="M24" i="2"/>
  <c r="J24" i="2"/>
  <c r="E24" i="2"/>
  <c r="D24" i="2"/>
  <c r="R23" i="2"/>
  <c r="M23" i="2"/>
  <c r="G23" i="2"/>
  <c r="H24" i="2" s="1"/>
  <c r="P24" i="2" s="1"/>
  <c r="S24" i="2" s="1"/>
  <c r="R22" i="2"/>
  <c r="M22" i="2"/>
  <c r="H22" i="2"/>
  <c r="P22" i="2" s="1"/>
  <c r="S22" i="2" s="1"/>
  <c r="D22" i="2"/>
  <c r="R21" i="2"/>
  <c r="M21" i="2"/>
  <c r="E21" i="2"/>
  <c r="E22" i="2" s="1"/>
  <c r="D21" i="2"/>
  <c r="S20" i="2"/>
  <c r="R20" i="2"/>
  <c r="P20" i="2"/>
  <c r="M20" i="2"/>
  <c r="H20" i="2"/>
  <c r="G20" i="2"/>
  <c r="H21" i="2" s="1"/>
  <c r="P21" i="2" s="1"/>
  <c r="S21" i="2" s="1"/>
  <c r="R19" i="2"/>
  <c r="M19" i="2"/>
  <c r="R18" i="2"/>
  <c r="M18" i="2"/>
  <c r="J18" i="2"/>
  <c r="J19" i="2" s="1"/>
  <c r="H18" i="2"/>
  <c r="P18" i="2" s="1"/>
  <c r="S18" i="2" s="1"/>
  <c r="E18" i="2"/>
  <c r="E19" i="2" s="1"/>
  <c r="D18" i="2"/>
  <c r="D19" i="2" s="1"/>
  <c r="R17" i="2"/>
  <c r="M17" i="2"/>
  <c r="H17" i="2"/>
  <c r="P17" i="2" s="1"/>
  <c r="S17" i="2" s="1"/>
  <c r="G17" i="2"/>
  <c r="H19" i="2" s="1"/>
  <c r="P19" i="2" s="1"/>
  <c r="S19" i="2" s="1"/>
  <c r="R16" i="2"/>
  <c r="M16" i="2"/>
  <c r="H16" i="2"/>
  <c r="P16" i="2" s="1"/>
  <c r="S16" i="2" s="1"/>
  <c r="E16" i="2"/>
  <c r="S15" i="2"/>
  <c r="R15" i="2"/>
  <c r="P15" i="2"/>
  <c r="M15" i="2"/>
  <c r="J15" i="2"/>
  <c r="J16" i="2" s="1"/>
  <c r="H15" i="2"/>
  <c r="E15" i="2"/>
  <c r="D15" i="2"/>
  <c r="D16" i="2" s="1"/>
  <c r="S14" i="2"/>
  <c r="R14" i="2"/>
  <c r="P14" i="2"/>
  <c r="M14" i="2"/>
  <c r="H14" i="2"/>
  <c r="R13" i="2"/>
  <c r="M13" i="2"/>
  <c r="J13" i="2"/>
  <c r="E13" i="2"/>
  <c r="D13" i="2"/>
  <c r="R12" i="2"/>
  <c r="M12" i="2"/>
  <c r="J12" i="2"/>
  <c r="E12" i="2"/>
  <c r="D12" i="2"/>
  <c r="R11" i="2"/>
  <c r="M11" i="2"/>
  <c r="G11" i="2"/>
  <c r="H11" i="2" s="1"/>
  <c r="P11" i="2" s="1"/>
  <c r="S11" i="2" s="1"/>
  <c r="S10" i="2"/>
  <c r="R10" i="2"/>
  <c r="P10" i="2"/>
  <c r="M10" i="2"/>
  <c r="J10" i="2"/>
  <c r="H10" i="2"/>
  <c r="E10" i="2"/>
  <c r="D10" i="2"/>
  <c r="S9" i="2"/>
  <c r="R9" i="2"/>
  <c r="P9" i="2"/>
  <c r="M9" i="2"/>
  <c r="J9" i="2"/>
  <c r="H9" i="2"/>
  <c r="E9" i="2"/>
  <c r="D9" i="2"/>
  <c r="S8" i="2"/>
  <c r="R8" i="2"/>
  <c r="P8" i="2"/>
  <c r="M8" i="2"/>
  <c r="H8" i="2"/>
  <c r="R7" i="2"/>
  <c r="M7" i="2"/>
  <c r="J7" i="2"/>
  <c r="H7" i="2"/>
  <c r="P7" i="2" s="1"/>
  <c r="S7" i="2" s="1"/>
  <c r="R6" i="2"/>
  <c r="M6" i="2"/>
  <c r="J6" i="2"/>
  <c r="H6" i="2"/>
  <c r="P6" i="2" s="1"/>
  <c r="S6" i="2" s="1"/>
  <c r="E6" i="2"/>
  <c r="E7" i="2" s="1"/>
  <c r="D6" i="2"/>
  <c r="D7" i="2" s="1"/>
  <c r="S5" i="2"/>
  <c r="R5" i="2"/>
  <c r="P5" i="2"/>
  <c r="H5" i="2"/>
  <c r="R4" i="2"/>
  <c r="M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R3" i="2"/>
  <c r="P3" i="2"/>
  <c r="S3" i="2" s="1"/>
  <c r="M3" i="2"/>
  <c r="J3" i="2"/>
  <c r="H3" i="2"/>
  <c r="E3" i="2"/>
  <c r="E4" i="2" s="1"/>
  <c r="D3" i="2"/>
  <c r="D4" i="2" s="1"/>
  <c r="B3" i="2"/>
  <c r="AJ2" i="2"/>
  <c r="AK2" i="2" s="1"/>
  <c r="AH2" i="2"/>
  <c r="AG2" i="2"/>
  <c r="AD2" i="2"/>
  <c r="H4" i="2" s="1"/>
  <c r="P4" i="2" s="1"/>
  <c r="S4" i="2" s="1"/>
  <c r="R2" i="2"/>
  <c r="H2" i="2"/>
  <c r="P2" i="2" s="1"/>
  <c r="P42" i="1"/>
  <c r="F31" i="1" s="1"/>
  <c r="P41" i="1"/>
  <c r="F30" i="1" s="1"/>
  <c r="P40" i="1"/>
  <c r="O39" i="1"/>
  <c r="N39" i="1"/>
  <c r="M39" i="1"/>
  <c r="L39" i="1"/>
  <c r="K39" i="1"/>
  <c r="J39" i="1"/>
  <c r="I39" i="1"/>
  <c r="H39" i="1"/>
  <c r="G39" i="1"/>
  <c r="F39" i="1"/>
  <c r="E39" i="1"/>
  <c r="D39" i="1"/>
  <c r="O38" i="1"/>
  <c r="N38" i="1"/>
  <c r="M38" i="1"/>
  <c r="L38" i="1"/>
  <c r="K38" i="1"/>
  <c r="J38" i="1"/>
  <c r="I38" i="1"/>
  <c r="H38" i="1"/>
  <c r="G38" i="1"/>
  <c r="F38" i="1"/>
  <c r="E38" i="1"/>
  <c r="D38" i="1"/>
  <c r="O37" i="1"/>
  <c r="O43" i="1" s="1"/>
  <c r="N37" i="1"/>
  <c r="M37" i="1"/>
  <c r="M43" i="1" s="1"/>
  <c r="L37" i="1"/>
  <c r="L43" i="1" s="1"/>
  <c r="K37" i="1"/>
  <c r="J37" i="1"/>
  <c r="I37" i="1"/>
  <c r="H37" i="1"/>
  <c r="G37" i="1"/>
  <c r="F37" i="1"/>
  <c r="P37" i="1" s="1"/>
  <c r="E37" i="1"/>
  <c r="D37" i="1"/>
  <c r="O36" i="1"/>
  <c r="N36" i="1"/>
  <c r="M36" i="1"/>
  <c r="L36" i="1"/>
  <c r="K36" i="1"/>
  <c r="J36" i="1"/>
  <c r="I36" i="1"/>
  <c r="H36" i="1"/>
  <c r="H43" i="1" s="1"/>
  <c r="G36" i="1"/>
  <c r="G43" i="1" s="1"/>
  <c r="F36" i="1"/>
  <c r="F43" i="1" s="1"/>
  <c r="E36" i="1"/>
  <c r="E43" i="1" s="1"/>
  <c r="D36" i="1"/>
  <c r="F29" i="1"/>
  <c r="F28" i="1"/>
  <c r="I28" i="1" s="1"/>
  <c r="E28" i="1"/>
  <c r="D28" i="1"/>
  <c r="F27" i="1"/>
  <c r="I27" i="1" s="1"/>
  <c r="E27" i="1"/>
  <c r="D27" i="1"/>
  <c r="F26" i="1"/>
  <c r="I26" i="1" s="1"/>
  <c r="E26" i="1"/>
  <c r="D26" i="1"/>
  <c r="F25" i="1"/>
  <c r="P17" i="1"/>
  <c r="O17" i="1"/>
  <c r="N17" i="1"/>
  <c r="M17" i="1"/>
  <c r="L17" i="1"/>
  <c r="K17" i="1"/>
  <c r="J17" i="1"/>
  <c r="I17" i="1"/>
  <c r="H17" i="1"/>
  <c r="G17" i="1"/>
  <c r="F17" i="1"/>
  <c r="D17" i="1"/>
  <c r="I43" i="1" l="1"/>
  <c r="P38" i="1"/>
  <c r="BA5" i="7"/>
  <c r="BB5" i="7" s="1"/>
  <c r="Y18" i="7"/>
  <c r="Q58" i="7"/>
  <c r="Q59" i="7"/>
  <c r="V8" i="7"/>
  <c r="Y20" i="7"/>
  <c r="AE20" i="7" s="1"/>
  <c r="L5" i="7"/>
  <c r="V5" i="7" s="1"/>
  <c r="W17" i="7"/>
  <c r="Q55" i="7"/>
  <c r="K68" i="7"/>
  <c r="W19" i="7"/>
  <c r="Y15" i="7"/>
  <c r="Y21" i="7"/>
  <c r="P39" i="1"/>
  <c r="F32" i="1"/>
  <c r="I32" i="1" s="1"/>
  <c r="D43" i="1"/>
  <c r="K43" i="1"/>
  <c r="Q53" i="7"/>
  <c r="Q57" i="7"/>
  <c r="L12" i="7"/>
  <c r="P12" i="7" s="1"/>
  <c r="AG12" i="7" s="1"/>
  <c r="Q50" i="7"/>
  <c r="W5" i="7"/>
  <c r="Y5" i="7" s="1"/>
  <c r="AE5" i="7" s="1"/>
  <c r="AG5" i="7" s="1"/>
  <c r="Y11" i="7"/>
  <c r="AE11" i="7" s="1"/>
  <c r="G19" i="7"/>
  <c r="V19" i="7" s="1"/>
  <c r="G20" i="7"/>
  <c r="V20" i="7" s="1"/>
  <c r="G12" i="7"/>
  <c r="V12" i="7" s="1"/>
  <c r="G11" i="7"/>
  <c r="K11" i="7" s="1"/>
  <c r="Q60" i="7"/>
  <c r="Q56" i="7"/>
  <c r="Y16" i="7"/>
  <c r="Y19" i="7"/>
  <c r="Q48" i="7"/>
  <c r="Y6" i="7"/>
  <c r="AE6" i="7" s="1"/>
  <c r="AG6" i="7" s="1"/>
  <c r="Y8" i="7"/>
  <c r="AE8" i="7" s="1"/>
  <c r="AG8" i="7" s="1"/>
  <c r="BA9" i="7"/>
  <c r="BB9" i="7" s="1"/>
  <c r="Q52" i="7"/>
  <c r="W68" i="7"/>
  <c r="Y17" i="7"/>
  <c r="N43" i="1"/>
  <c r="J43" i="1"/>
  <c r="P3" i="4"/>
  <c r="H26" i="1" s="1"/>
  <c r="G26" i="1"/>
  <c r="Q49" i="7"/>
  <c r="Q61" i="7"/>
  <c r="P62" i="7"/>
  <c r="Q62" i="7" s="1"/>
  <c r="H27" i="1"/>
  <c r="S2" i="2"/>
  <c r="P4" i="5"/>
  <c r="G27" i="1"/>
  <c r="AH20" i="7"/>
  <c r="P20" i="7"/>
  <c r="AG20" i="7" s="1"/>
  <c r="Q17" i="1"/>
  <c r="G7" i="1" s="1"/>
  <c r="Q54" i="7"/>
  <c r="X68" i="7"/>
  <c r="AD68" i="7" s="1"/>
  <c r="H160" i="7"/>
  <c r="I160" i="7" s="1"/>
  <c r="D25" i="1"/>
  <c r="D32" i="1" s="1"/>
  <c r="P13" i="1"/>
  <c r="J4" i="2"/>
  <c r="W14" i="7"/>
  <c r="Y14" i="7" s="1"/>
  <c r="N13" i="1"/>
  <c r="O13" i="1"/>
  <c r="I25" i="1"/>
  <c r="P36" i="1"/>
  <c r="P43" i="1" s="1"/>
  <c r="H12" i="2"/>
  <c r="P12" i="2" s="1"/>
  <c r="S12" i="2" s="1"/>
  <c r="F7" i="7"/>
  <c r="W7" i="7" s="1"/>
  <c r="Y7" i="7" s="1"/>
  <c r="AE7" i="7" s="1"/>
  <c r="AG7" i="7" s="1"/>
  <c r="AX7" i="7"/>
  <c r="AY7" i="7" s="1"/>
  <c r="F9" i="7"/>
  <c r="L11" i="7"/>
  <c r="P11" i="7" s="1"/>
  <c r="H25" i="2"/>
  <c r="P25" i="2" s="1"/>
  <c r="S25" i="2" s="1"/>
  <c r="AX6" i="7"/>
  <c r="AY6" i="7" s="1"/>
  <c r="BA6" i="7"/>
  <c r="BB6" i="7" s="1"/>
  <c r="H13" i="2"/>
  <c r="P13" i="2" s="1"/>
  <c r="S13" i="2" s="1"/>
  <c r="H23" i="2"/>
  <c r="P23" i="2" s="1"/>
  <c r="S23" i="2" s="1"/>
  <c r="P19" i="7"/>
  <c r="H28" i="1"/>
  <c r="AX9" i="7"/>
  <c r="AY9" i="7" s="1"/>
  <c r="G14" i="7"/>
  <c r="V14" i="7" s="1"/>
  <c r="L13" i="1"/>
  <c r="M13" i="1"/>
  <c r="G4" i="2"/>
  <c r="AH21" i="7" l="1"/>
  <c r="AG21" i="7" s="1"/>
  <c r="AE21" i="7"/>
  <c r="AH15" i="7"/>
  <c r="AG15" i="7" s="1"/>
  <c r="AE15" i="7"/>
  <c r="AH19" i="7"/>
  <c r="AG19" i="7" s="1"/>
  <c r="AE19" i="7"/>
  <c r="AG11" i="7"/>
  <c r="AH17" i="7"/>
  <c r="AG17" i="7" s="1"/>
  <c r="AE17" i="7"/>
  <c r="AH18" i="7"/>
  <c r="AG18" i="7" s="1"/>
  <c r="AE18" i="7"/>
  <c r="AH16" i="7"/>
  <c r="AG16" i="7" s="1"/>
  <c r="AE16" i="7"/>
  <c r="AH14" i="7"/>
  <c r="AE14" i="7"/>
  <c r="X69" i="7"/>
  <c r="AD69" i="7" s="1"/>
  <c r="G25" i="1"/>
  <c r="G32" i="1" s="1"/>
  <c r="M7" i="1"/>
  <c r="H25" i="1"/>
  <c r="H32" i="1" s="1"/>
  <c r="K7" i="1"/>
  <c r="D13" i="1"/>
  <c r="G13" i="1"/>
  <c r="F13" i="1"/>
  <c r="J13" i="1"/>
  <c r="I13" i="1"/>
  <c r="H13" i="1"/>
  <c r="E13" i="1"/>
  <c r="K13" i="1"/>
  <c r="O7" i="1"/>
  <c r="I7" i="1"/>
  <c r="E25" i="1"/>
  <c r="E32" i="1" s="1"/>
  <c r="AG14" i="7" l="1"/>
  <c r="Q13" i="1"/>
  <c r="E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1" authorId="0" shapeId="0" xr:uid="{00000000-0006-0000-0600-000002000000}">
      <text>
        <r>
          <rPr>
            <sz val="10"/>
            <rFont val="Noto Sans CJK SC"/>
            <family val="2"/>
          </rPr>
          <t>기존예정일</t>
        </r>
        <r>
          <rPr>
            <sz val="10"/>
            <rFont val="Arial"/>
            <family val="2"/>
          </rPr>
          <t xml:space="preserve">:25.05.30
</t>
        </r>
        <r>
          <rPr>
            <sz val="10"/>
            <rFont val="Noto Sans CJK SC"/>
            <family val="2"/>
          </rPr>
          <t xml:space="preserve">적산건설 대금 흐름진행이어려워 
소장님먼저 처리함 
이에 아파트 중도금 입금 이후로 선급금 
진행이 이루어질듯
</t>
        </r>
        <r>
          <rPr>
            <sz val="10"/>
            <rFont val="Arial"/>
            <family val="2"/>
          </rPr>
          <t xml:space="preserve">7/31 </t>
        </r>
        <r>
          <rPr>
            <sz val="10"/>
            <rFont val="Noto Sans CJK SC"/>
            <family val="2"/>
          </rPr>
          <t xml:space="preserve">일부금액 입금예정
</t>
        </r>
        <r>
          <rPr>
            <sz val="10"/>
            <rFont val="Arial"/>
            <family val="2"/>
          </rPr>
          <t xml:space="preserve">8/11 </t>
        </r>
        <r>
          <rPr>
            <sz val="10"/>
            <rFont val="Noto Sans CJK SC"/>
            <family val="2"/>
          </rPr>
          <t xml:space="preserve">담당자 휴가후 복귀예정
</t>
        </r>
        <r>
          <rPr>
            <sz val="10"/>
            <rFont val="Arial"/>
            <family val="2"/>
          </rPr>
          <t>:</t>
        </r>
        <r>
          <rPr>
            <sz val="10"/>
            <rFont val="Noto Sans CJK SC"/>
            <family val="2"/>
          </rPr>
          <t xml:space="preserve">하자판결금진행현장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발주처 미지급중</t>
        </r>
        <r>
          <rPr>
            <sz val="10"/>
            <rFont val="Arial"/>
            <family val="2"/>
          </rPr>
          <t>)
26~27</t>
        </r>
        <r>
          <rPr>
            <sz val="10"/>
            <rFont val="Noto Sans CJK SC"/>
            <family val="2"/>
          </rPr>
          <t>년으로 선</t>
        </r>
        <r>
          <rPr>
            <sz val="10"/>
            <rFont val="Arial"/>
            <family val="2"/>
          </rPr>
          <t>,</t>
        </r>
        <r>
          <rPr>
            <sz val="10"/>
            <rFont val="Noto Sans CJK SC"/>
            <family val="2"/>
          </rPr>
          <t>중</t>
        </r>
        <r>
          <rPr>
            <sz val="10"/>
            <rFont val="Arial"/>
            <family val="2"/>
          </rPr>
          <t>,</t>
        </r>
        <r>
          <rPr>
            <sz val="10"/>
            <rFont val="Noto Sans CJK SC"/>
            <family val="2"/>
          </rPr>
          <t>잔 미뤄질가능성있음 
적산건설 → 이음건설에서
하자판결금으로 지급되는 현장
이와 관련 유림님 대표님께 확인예정</t>
        </r>
        <r>
          <rPr>
            <sz val="10"/>
            <rFont val="Arial"/>
            <family val="2"/>
          </rPr>
          <t xml:space="preserve">_250829
</t>
        </r>
        <r>
          <rPr>
            <sz val="10"/>
            <rFont val="Noto Sans CJK SC"/>
            <family val="2"/>
          </rPr>
          <t xml:space="preserve">대표님 최종확인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해당현장 대금지급기한 
</t>
        </r>
        <r>
          <rPr>
            <sz val="10"/>
            <rFont val="Arial"/>
            <family val="2"/>
          </rPr>
          <t>2026</t>
        </r>
        <r>
          <rPr>
            <sz val="10"/>
            <rFont val="Noto Sans CJK SC"/>
            <family val="2"/>
          </rPr>
          <t>년 진행예정</t>
        </r>
        <r>
          <rPr>
            <sz val="10"/>
            <rFont val="Arial"/>
            <family val="2"/>
          </rPr>
          <t xml:space="preserve">_250902
</t>
        </r>
      </text>
    </comment>
    <comment ref="I16" authorId="0" shapeId="0" xr:uid="{00000000-0006-0000-0600-000003000000}">
      <text>
        <r>
          <rPr>
            <sz val="10"/>
            <rFont val="Noto Sans CJK SC"/>
            <family val="2"/>
          </rPr>
          <t xml:space="preserve">선급금 없는현장
중도금 진행시 입금예정
</t>
        </r>
      </text>
    </comment>
    <comment ref="H47" authorId="0" shapeId="0" xr:uid="{00000000-0006-0000-0600-000001000000}">
      <text>
        <r>
          <rPr>
            <sz val="10"/>
            <rFont val="Noto Sans CJK SC"/>
            <family val="2"/>
          </rPr>
          <t>자재대금입금시 함께
입금해준다고는하나</t>
        </r>
        <r>
          <rPr>
            <sz val="10"/>
            <rFont val="Arial"/>
            <family val="2"/>
          </rPr>
          <t xml:space="preserve">..
</t>
        </r>
        <r>
          <rPr>
            <sz val="10"/>
            <rFont val="Noto Sans CJK SC"/>
            <family val="2"/>
          </rPr>
          <t>언제입금되는시점은
정확히모름</t>
        </r>
        <r>
          <rPr>
            <sz val="10"/>
            <rFont val="Arial"/>
            <family val="2"/>
          </rPr>
          <t>-</t>
        </r>
        <r>
          <rPr>
            <sz val="10"/>
            <rFont val="Noto Sans CJK SC"/>
            <family val="2"/>
          </rPr>
          <t xml:space="preserve">이에 </t>
        </r>
        <r>
          <rPr>
            <sz val="10"/>
            <rFont val="Arial"/>
            <family val="2"/>
          </rPr>
          <t>5/19</t>
        </r>
        <r>
          <rPr>
            <sz val="10"/>
            <rFont val="Noto Sans CJK SC"/>
            <family val="2"/>
          </rPr>
          <t xml:space="preserve">업체쪽 전화예정
기존 </t>
        </r>
        <r>
          <rPr>
            <sz val="10"/>
            <rFont val="Arial"/>
            <family val="2"/>
          </rPr>
          <t xml:space="preserve">: 5/30
</t>
        </r>
      </text>
    </comment>
  </commentList>
</comments>
</file>

<file path=xl/sharedStrings.xml><?xml version="1.0" encoding="utf-8"?>
<sst xmlns="http://schemas.openxmlformats.org/spreadsheetml/2006/main" count="863" uniqueCount="443">
  <si>
    <r>
      <rPr>
        <b/>
        <sz val="14"/>
        <color theme="0"/>
        <rFont val="맑은 고딕"/>
        <family val="3"/>
        <charset val="129"/>
      </rPr>
      <t>(</t>
    </r>
    <r>
      <rPr>
        <b/>
        <sz val="14"/>
        <color theme="0"/>
        <rFont val="Noto Sans CJK SC"/>
        <family val="2"/>
      </rPr>
      <t>주</t>
    </r>
    <r>
      <rPr>
        <b/>
        <sz val="14"/>
        <color theme="0"/>
        <rFont val="맑은 고딕"/>
        <family val="3"/>
        <charset val="129"/>
      </rPr>
      <t xml:space="preserve">) </t>
    </r>
    <r>
      <rPr>
        <b/>
        <sz val="14"/>
        <color theme="0"/>
        <rFont val="Noto Sans CJK SC"/>
        <family val="2"/>
      </rPr>
      <t xml:space="preserve">넷폼알앤디 </t>
    </r>
    <r>
      <rPr>
        <b/>
        <sz val="14"/>
        <color theme="0"/>
        <rFont val="맑은 고딕"/>
        <family val="3"/>
        <charset val="129"/>
      </rPr>
      <t>2026</t>
    </r>
    <r>
      <rPr>
        <b/>
        <sz val="14"/>
        <color theme="0"/>
        <rFont val="Noto Sans CJK SC"/>
        <family val="2"/>
      </rPr>
      <t>년 매출현황</t>
    </r>
  </si>
  <si>
    <t>목표매출</t>
  </si>
  <si>
    <t>계약매출</t>
  </si>
  <si>
    <t>확정매출</t>
  </si>
  <si>
    <t>달성률</t>
  </si>
  <si>
    <t>수금예정액</t>
  </si>
  <si>
    <t>수금률</t>
  </si>
  <si>
    <r>
      <rPr>
        <b/>
        <sz val="11"/>
        <color rgb="FF2C3E50"/>
        <rFont val="맑은 고딕"/>
        <family val="3"/>
        <charset val="129"/>
      </rPr>
      <t xml:space="preserve">1. </t>
    </r>
    <r>
      <rPr>
        <b/>
        <sz val="11"/>
        <color rgb="FF2C3E50"/>
        <rFont val="Noto Sans CJK SC"/>
        <family val="2"/>
      </rPr>
      <t>월별 계약 매출</t>
    </r>
  </si>
  <si>
    <t>계약일기준</t>
  </si>
  <si>
    <r>
      <rPr>
        <b/>
        <sz val="9"/>
        <color rgb="FFFFFFFF"/>
        <rFont val="맑은 고딕"/>
        <family val="3"/>
        <charset val="129"/>
      </rPr>
      <t>25</t>
    </r>
    <r>
      <rPr>
        <b/>
        <sz val="9"/>
        <color rgb="FFFFFFFF"/>
        <rFont val="Noto Sans CJK SC"/>
        <family val="2"/>
      </rPr>
      <t>년</t>
    </r>
    <r>
      <rPr>
        <b/>
        <sz val="9"/>
        <color rgb="FFFFFFFF"/>
        <rFont val="맑은 고딕"/>
        <family val="3"/>
        <charset val="129"/>
      </rPr>
      <t>12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</si>
  <si>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1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</si>
  <si>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2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</si>
  <si>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3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</si>
  <si>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4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</si>
  <si>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5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</si>
  <si>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6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</si>
  <si>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7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</si>
  <si>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8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</si>
  <si>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9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</si>
  <si>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10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</si>
  <si>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11</t>
    </r>
    <r>
      <rPr>
        <b/>
        <sz val="9"/>
        <color rgb="FFFFFFFF"/>
        <rFont val="Noto Sans CJK SC"/>
        <family val="2"/>
      </rPr>
      <t>월</t>
    </r>
  </si>
  <si>
    <r>
      <rPr>
        <b/>
        <sz val="9"/>
        <color rgb="FFFFFFFF"/>
        <rFont val="맑은 고딕"/>
        <family val="3"/>
        <charset val="129"/>
      </rPr>
      <t>12</t>
    </r>
    <r>
      <rPr>
        <b/>
        <sz val="9"/>
        <color rgb="FFFFFFFF"/>
        <rFont val="Noto Sans CJK SC"/>
        <family val="2"/>
      </rPr>
      <t>월</t>
    </r>
  </si>
  <si>
    <t>합계</t>
  </si>
  <si>
    <t>총액</t>
  </si>
  <si>
    <r>
      <rPr>
        <b/>
        <sz val="11"/>
        <color rgb="FF2C3E50"/>
        <rFont val="맑은 고딕"/>
        <family val="3"/>
        <charset val="129"/>
      </rPr>
      <t xml:space="preserve">2. </t>
    </r>
    <r>
      <rPr>
        <b/>
        <sz val="11"/>
        <color rgb="FF2C3E50"/>
        <rFont val="Noto Sans CJK SC"/>
        <family val="2"/>
      </rPr>
      <t>월별 확정 매출</t>
    </r>
  </si>
  <si>
    <t>매출일기준</t>
  </si>
  <si>
    <r>
      <rPr>
        <b/>
        <sz val="11"/>
        <color rgb="FF2C3E50"/>
        <rFont val="맑은 고딕"/>
        <family val="3"/>
        <charset val="129"/>
      </rPr>
      <t xml:space="preserve">3. </t>
    </r>
    <r>
      <rPr>
        <b/>
        <sz val="11"/>
        <color rgb="FF2C3E50"/>
        <rFont val="Noto Sans CJK SC"/>
        <family val="2"/>
      </rPr>
      <t>카테고리별 매출</t>
    </r>
  </si>
  <si>
    <t>매출구분</t>
  </si>
  <si>
    <t>현장수</t>
  </si>
  <si>
    <t>관리미수금</t>
  </si>
  <si>
    <t>컨설팅</t>
  </si>
  <si>
    <t>S/N솔루션</t>
  </si>
  <si>
    <t>특허기술자문료</t>
  </si>
  <si>
    <t>자재판매</t>
  </si>
  <si>
    <t>포어스토어</t>
  </si>
  <si>
    <t>-</t>
  </si>
  <si>
    <t>그로홈</t>
  </si>
  <si>
    <t>모여라딜</t>
  </si>
  <si>
    <r>
      <rPr>
        <b/>
        <sz val="11"/>
        <color rgb="FF2C3E50"/>
        <rFont val="맑은 고딕"/>
        <family val="3"/>
        <charset val="129"/>
      </rPr>
      <t xml:space="preserve">4. </t>
    </r>
    <r>
      <rPr>
        <b/>
        <sz val="11"/>
        <color rgb="FF2C3E50"/>
        <rFont val="Noto Sans CJK SC"/>
        <family val="2"/>
      </rPr>
      <t>카테고리별 월별 매출</t>
    </r>
  </si>
  <si>
    <t>월합계</t>
  </si>
  <si>
    <t>순번</t>
  </si>
  <si>
    <t>업체명</t>
  </si>
  <si>
    <t>현장명</t>
  </si>
  <si>
    <t>총실행가</t>
  </si>
  <si>
    <t>계약금액(V-)</t>
  </si>
  <si>
    <t>매출금액(v-)</t>
  </si>
  <si>
    <t>구분</t>
  </si>
  <si>
    <t>계약일</t>
  </si>
  <si>
    <t>착공일</t>
  </si>
  <si>
    <t>매출일</t>
  </si>
  <si>
    <t>입금예정일</t>
  </si>
  <si>
    <t>입금일</t>
  </si>
  <si>
    <t>입금액(V+)</t>
  </si>
  <si>
    <t>수금예정액(V+)</t>
  </si>
  <si>
    <t>준공일</t>
  </si>
  <si>
    <t>정산소요일</t>
  </si>
  <si>
    <t>입금지연</t>
  </si>
  <si>
    <t>현장 소장</t>
  </si>
  <si>
    <t>단가</t>
  </si>
  <si>
    <t>노임 금액</t>
  </si>
  <si>
    <t>추가노무비</t>
  </si>
  <si>
    <t>안전관리비</t>
  </si>
  <si>
    <t>장비대금</t>
  </si>
  <si>
    <t>폐기물</t>
  </si>
  <si>
    <t>기타</t>
  </si>
  <si>
    <t>차감총액</t>
  </si>
  <si>
    <t>자재판매가</t>
  </si>
  <si>
    <t>컨설팅 순이익금</t>
  </si>
  <si>
    <t>이익률</t>
  </si>
  <si>
    <t>자재원가</t>
  </si>
  <si>
    <t>이익금액</t>
  </si>
  <si>
    <t>컨설팅현장</t>
  </si>
  <si>
    <t>에이치제이건설</t>
  </si>
  <si>
    <t>해운대 센텀트루엘</t>
  </si>
  <si>
    <t>선금</t>
  </si>
  <si>
    <t>중도금</t>
  </si>
  <si>
    <t>잔금</t>
  </si>
  <si>
    <t>여름건설</t>
  </si>
  <si>
    <t>자양10차현대홈타운</t>
  </si>
  <si>
    <t>광덕파크빌</t>
  </si>
  <si>
    <t>기림이앤씨</t>
  </si>
  <si>
    <t>해누리선경</t>
  </si>
  <si>
    <t>지웰시티푸르지오1단지오피스텔</t>
  </si>
  <si>
    <t>건진개발</t>
  </si>
  <si>
    <t>덕천동롯데</t>
  </si>
  <si>
    <t>석민이앤씨</t>
  </si>
  <si>
    <t>동탄역시범한화꿈에그린
프레스티지</t>
  </si>
  <si>
    <t>색채산업개발</t>
  </si>
  <si>
    <t>토당금강KCC</t>
  </si>
  <si>
    <t>낙찰금액(v-)</t>
  </si>
  <si>
    <t>계약금액(v-)</t>
  </si>
  <si>
    <r>
      <rPr>
        <sz val="10"/>
        <color theme="1"/>
        <rFont val="맑은 고딕"/>
        <family val="3"/>
        <charset val="129"/>
      </rPr>
      <t>S/N</t>
    </r>
    <r>
      <rPr>
        <sz val="10"/>
        <color theme="1"/>
        <rFont val="Noto Sans CJK SC"/>
        <family val="2"/>
      </rPr>
      <t>솔루션</t>
    </r>
  </si>
  <si>
    <t>특허료 비율</t>
  </si>
  <si>
    <t>자재판매(v-)</t>
  </si>
  <si>
    <t>매출액(v-)</t>
  </si>
  <si>
    <t>공문발송일</t>
  </si>
  <si>
    <t>입금액(v+)</t>
  </si>
  <si>
    <t>(주)효덕산업</t>
  </si>
  <si>
    <t>신정현대6차 아파트</t>
  </si>
  <si>
    <t>석진건설(주)</t>
  </si>
  <si>
    <t>포레나광교상현아파트</t>
  </si>
  <si>
    <t>동탄역더샵센트럴시티2차아파트</t>
  </si>
  <si>
    <t>승인번호</t>
  </si>
  <si>
    <t>발급일자</t>
  </si>
  <si>
    <t>전송일자</t>
  </si>
  <si>
    <t>공급자사업자등록번호</t>
  </si>
  <si>
    <t>종사업장번호</t>
  </si>
  <si>
    <t>상호</t>
  </si>
  <si>
    <t>대표자명</t>
  </si>
  <si>
    <t>주소</t>
  </si>
  <si>
    <t>공급받는자사업자등록번호</t>
  </si>
  <si>
    <t>합계금액</t>
  </si>
  <si>
    <t>세액</t>
  </si>
  <si>
    <t>전자세금계산서분류</t>
  </si>
  <si>
    <t>발급유형</t>
  </si>
  <si>
    <t>비고</t>
  </si>
  <si>
    <t>영수/청구 구분</t>
  </si>
  <si>
    <t>공급자 이메일</t>
  </si>
  <si>
    <t>공급받는자 이메일1</t>
  </si>
  <si>
    <t>공급받는자 이메일2</t>
  </si>
  <si>
    <t>품목일자</t>
  </si>
  <si>
    <t>품목명</t>
  </si>
  <si>
    <t>품목규격</t>
  </si>
  <si>
    <t>품목수량</t>
  </si>
  <si>
    <t>품목단가</t>
  </si>
  <si>
    <t>품목공급가액</t>
  </si>
  <si>
    <t>품목세액</t>
  </si>
  <si>
    <t>2026-01-05</t>
  </si>
  <si>
    <t>20260105-10260105-90287761</t>
  </si>
  <si>
    <t>403-81-84528</t>
  </si>
  <si>
    <t>주식회사 넷폼알앤디(NETFORM R&amp;D Corp.)</t>
  </si>
  <si>
    <t>이승우</t>
  </si>
  <si>
    <t>경기도 오산시 서동로 77, 1층,3층(서동)</t>
  </si>
  <si>
    <t>416-81-21999</t>
  </si>
  <si>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주</t>
    </r>
    <r>
      <rPr>
        <sz val="10"/>
        <color theme="1"/>
        <rFont val="맑은 고딕"/>
        <family val="3"/>
        <charset val="129"/>
      </rPr>
      <t>)</t>
    </r>
    <r>
      <rPr>
        <sz val="10"/>
        <color theme="1"/>
        <rFont val="Noto Sans CJK SC"/>
        <family val="2"/>
      </rPr>
      <t>부영씨엔씨</t>
    </r>
  </si>
  <si>
    <t>정동진</t>
  </si>
  <si>
    <t>서울특별시 광진구 자양동 784-1 대동상가동 107</t>
  </si>
  <si>
    <t>세금계산서</t>
  </si>
  <si>
    <t>인터넷발급</t>
  </si>
  <si>
    <t>기업은행 468-084895-04-017 넷폼알앤디</t>
  </si>
  <si>
    <t>청구</t>
  </si>
  <si>
    <t>netform@netformrnd.com</t>
  </si>
  <si>
    <t>booyoung458@hanmail.net</t>
  </si>
  <si>
    <t>자재대금</t>
  </si>
  <si>
    <t>1</t>
  </si>
  <si>
    <t>26,182,000</t>
  </si>
  <si>
    <t>잠실리센츠</t>
  </si>
  <si>
    <t>20260105-10260105-90284342</t>
  </si>
  <si>
    <t>579-87-01622</t>
  </si>
  <si>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주</t>
    </r>
    <r>
      <rPr>
        <sz val="10"/>
        <color theme="1"/>
        <rFont val="맑은 고딕"/>
        <family val="3"/>
        <charset val="129"/>
      </rPr>
      <t>)</t>
    </r>
    <r>
      <rPr>
        <sz val="10"/>
        <color theme="1"/>
        <rFont val="Noto Sans CJK SC"/>
        <family val="2"/>
      </rPr>
      <t>에이치제이건설</t>
    </r>
  </si>
  <si>
    <t>노옥분</t>
  </si>
  <si>
    <t>경상남도 양산시 물금읍 야리3길 34, 부광타워 607</t>
  </si>
  <si>
    <t>hj202002@naver.com</t>
  </si>
  <si>
    <t>1,100,000</t>
  </si>
  <si>
    <t>양산유탑유블레스</t>
  </si>
  <si>
    <t>2026-01-06</t>
  </si>
  <si>
    <t>20260106-10260106-92182686</t>
  </si>
  <si>
    <t>799,000</t>
  </si>
  <si>
    <t>20260106-10260106-91528242</t>
  </si>
  <si>
    <t>607-81-44583</t>
  </si>
  <si>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주</t>
    </r>
    <r>
      <rPr>
        <sz val="10"/>
        <color theme="1"/>
        <rFont val="맑은 고딕"/>
        <family val="3"/>
        <charset val="129"/>
      </rPr>
      <t>)</t>
    </r>
    <r>
      <rPr>
        <sz val="10"/>
        <color theme="1"/>
        <rFont val="Noto Sans CJK SC"/>
        <family val="2"/>
      </rPr>
      <t>대한진단건설</t>
    </r>
  </si>
  <si>
    <t>이헌재</t>
  </si>
  <si>
    <t>부산광역시 동래구 사직북로63번길 55</t>
  </si>
  <si>
    <t>daehan0404@nate.com</t>
  </si>
  <si>
    <t>3,430,000</t>
  </si>
  <si>
    <t>더샵센텀파크1차</t>
  </si>
  <si>
    <r>
      <rPr>
        <sz val="14"/>
        <color theme="1"/>
        <rFont val="맑은 고딕"/>
        <family val="3"/>
        <charset val="129"/>
      </rPr>
      <t xml:space="preserve"> 1. </t>
    </r>
    <r>
      <rPr>
        <sz val="14"/>
        <color theme="1"/>
        <rFont val="Noto Sans CJK SC"/>
        <family val="2"/>
      </rPr>
      <t>컨설팅 매출</t>
    </r>
  </si>
  <si>
    <t>선급금</t>
  </si>
  <si>
    <r>
      <rPr>
        <sz val="14"/>
        <color theme="1"/>
        <rFont val="맑은 고딕"/>
        <family val="3"/>
        <charset val="129"/>
      </rPr>
      <t>1</t>
    </r>
    <r>
      <rPr>
        <sz val="14"/>
        <color theme="1"/>
        <rFont val="Noto Sans CJK SC"/>
        <family val="2"/>
      </rPr>
      <t>차 중도금</t>
    </r>
  </si>
  <si>
    <r>
      <rPr>
        <sz val="14"/>
        <color theme="1"/>
        <rFont val="맑은 고딕"/>
        <family val="3"/>
        <charset val="129"/>
      </rPr>
      <t>2</t>
    </r>
    <r>
      <rPr>
        <sz val="14"/>
        <color theme="1"/>
        <rFont val="Noto Sans CJK SC"/>
        <family val="2"/>
      </rPr>
      <t>차 중도금</t>
    </r>
  </si>
  <si>
    <t xml:space="preserve">노임 </t>
  </si>
  <si>
    <t>차감내역</t>
  </si>
  <si>
    <t>자재 금액 - 판매</t>
  </si>
  <si>
    <t>자재 금액 - 원가</t>
  </si>
  <si>
    <t>순 
번</t>
  </si>
  <si>
    <t>컨설팅
금액</t>
  </si>
  <si>
    <t>금액</t>
  </si>
  <si>
    <t>발행</t>
  </si>
  <si>
    <t>예정</t>
  </si>
  <si>
    <t>입금</t>
  </si>
  <si>
    <t>미수금액</t>
  </si>
  <si>
    <t>금액2</t>
  </si>
  <si>
    <t>발행3</t>
  </si>
  <si>
    <t>예정4</t>
  </si>
  <si>
    <t>입금5</t>
  </si>
  <si>
    <t>미수금액6</t>
  </si>
  <si>
    <t>금액7</t>
  </si>
  <si>
    <t>발행8</t>
  </si>
  <si>
    <t>예정9</t>
  </si>
  <si>
    <t>입금10</t>
  </si>
  <si>
    <t>미수금액11</t>
  </si>
  <si>
    <t>중간 수금액</t>
  </si>
  <si>
    <t>금액12</t>
  </si>
  <si>
    <t>차감액</t>
  </si>
  <si>
    <t>최종잔금</t>
  </si>
  <si>
    <t>준공일
(A)</t>
  </si>
  <si>
    <t>발행13</t>
  </si>
  <si>
    <t>예정14</t>
  </si>
  <si>
    <t>입금
(B)</t>
  </si>
  <si>
    <t>정산
지연일
(A-B)</t>
  </si>
  <si>
    <t>최종수금액</t>
  </si>
  <si>
    <t>미수금액
(계산서발행o)</t>
  </si>
  <si>
    <t>계산서
미발행액</t>
  </si>
  <si>
    <t>자재 총액</t>
  </si>
  <si>
    <t>일성기업</t>
  </si>
  <si>
    <t>산격대우</t>
  </si>
  <si>
    <t>정상혁/신현섭</t>
  </si>
  <si>
    <t>한국전문건설</t>
  </si>
  <si>
    <t>이편한세상화랑대</t>
  </si>
  <si>
    <t>백우현/윤성환</t>
  </si>
  <si>
    <t>엘케이개발</t>
  </si>
  <si>
    <t>율전삼성2단지</t>
  </si>
  <si>
    <t>이용암</t>
  </si>
  <si>
    <t>도경</t>
  </si>
  <si>
    <t>광명</t>
  </si>
  <si>
    <t>김원규</t>
  </si>
  <si>
    <t>옥탑 190만원</t>
  </si>
  <si>
    <t>혜성씨앤씨</t>
  </si>
  <si>
    <t>호계신성미소지움</t>
  </si>
  <si>
    <t>조재부/이용암</t>
  </si>
  <si>
    <t>삼성리페어링</t>
  </si>
  <si>
    <t>신도림쌍용플래티넘노블</t>
  </si>
  <si>
    <t>박성훈/장진호</t>
  </si>
  <si>
    <t>적산건설</t>
  </si>
  <si>
    <t>원주기업도시2차 호반베르디움</t>
  </si>
  <si>
    <t>김병석</t>
  </si>
  <si>
    <t>오창롯데캐슬더하이스트</t>
  </si>
  <si>
    <t>조재부/조병철</t>
  </si>
  <si>
    <t>아시아선수촌</t>
  </si>
  <si>
    <t>이준경/장진호</t>
  </si>
  <si>
    <t>명하시앤씨</t>
  </si>
  <si>
    <t>은빛마을6단지프라웰</t>
  </si>
  <si>
    <t>김용재</t>
  </si>
  <si>
    <t>12,000/15,000</t>
  </si>
  <si>
    <t>부영씨엔씨</t>
  </si>
  <si>
    <t>탑마을 타워빌</t>
  </si>
  <si>
    <t>이성수
신현섭/윤성환</t>
  </si>
  <si>
    <t>이음건설</t>
  </si>
  <si>
    <t>행원마을 동아솔레시티</t>
  </si>
  <si>
    <t>조종억</t>
  </si>
  <si>
    <t>강서힐스테이트</t>
  </si>
  <si>
    <t>이성수</t>
  </si>
  <si>
    <t>원불교안암교당</t>
  </si>
  <si>
    <t>조병철/손영구</t>
  </si>
  <si>
    <t>신화건설</t>
  </si>
  <si>
    <t>광명노온정수장</t>
  </si>
  <si>
    <t>정상혁</t>
  </si>
  <si>
    <r>
      <rPr>
        <sz val="14"/>
        <color theme="1"/>
        <rFont val="맑은 고딕"/>
        <family val="3"/>
        <charset val="129"/>
      </rPr>
      <t xml:space="preserve"> 2. </t>
    </r>
    <r>
      <rPr>
        <sz val="14"/>
        <color theme="1"/>
        <rFont val="Noto Sans CJK SC"/>
        <family val="2"/>
      </rPr>
      <t>특허료 매출</t>
    </r>
  </si>
  <si>
    <t>특허 자문료 (1%)-A</t>
  </si>
  <si>
    <t>특허 자문료 (0.5%)-B</t>
  </si>
  <si>
    <t>수금관련</t>
  </si>
  <si>
    <t>특허 자문료 
공문 발송 일자</t>
  </si>
  <si>
    <t>낙찰 금액</t>
  </si>
  <si>
    <t>수금액</t>
  </si>
  <si>
    <t>미수금액2</t>
  </si>
  <si>
    <t>금곡하나</t>
  </si>
  <si>
    <t>초담건설</t>
  </si>
  <si>
    <t>마곡수명산파크2단지</t>
  </si>
  <si>
    <t>이루미건설</t>
  </si>
  <si>
    <t>한강신도시반도유보라2차</t>
  </si>
  <si>
    <t>대표건설</t>
  </si>
  <si>
    <t>영종도힐스테이트</t>
  </si>
  <si>
    <t xml:space="preserve"> 자재 구매-590,000원(295,000원 차감)</t>
  </si>
  <si>
    <t>진성이앤지</t>
  </si>
  <si>
    <t>길동현대</t>
  </si>
  <si>
    <t>일산 센트럴아이파크</t>
  </si>
  <si>
    <t>문촌 뉴삼익</t>
  </si>
  <si>
    <t xml:space="preserve"> 자재 구매-3,461,000원(837,000원 차감)</t>
  </si>
  <si>
    <t>백마마을3단지금호한양</t>
  </si>
  <si>
    <t xml:space="preserve"> 자재 구매-233,000원(116,500원 차감)</t>
  </si>
  <si>
    <t>예은건설</t>
  </si>
  <si>
    <t>인천논현힐스테이트</t>
  </si>
  <si>
    <t xml:space="preserve"> 자재 구매-5,100,000(2,550,000원 차감)</t>
  </si>
  <si>
    <t>현대성우5차</t>
  </si>
  <si>
    <t>코지건설</t>
  </si>
  <si>
    <t>아름마을 태영</t>
  </si>
  <si>
    <t>안서대림2차</t>
  </si>
  <si>
    <t xml:space="preserve"> 자재 구매-386,300(193,150원 차감)</t>
  </si>
  <si>
    <t>대한진단건설</t>
  </si>
  <si>
    <t>신구덕우성</t>
  </si>
  <si>
    <t>이매촌청구</t>
  </si>
  <si>
    <t xml:space="preserve"> 자재 구매-1,350,000 (675,000원 차감)</t>
  </si>
  <si>
    <t>홍성 청솔</t>
  </si>
  <si>
    <r>
      <rPr>
        <sz val="14"/>
        <color theme="1"/>
        <rFont val="맑은 고딕"/>
        <family val="3"/>
        <charset val="129"/>
      </rPr>
      <t>2</t>
    </r>
    <r>
      <rPr>
        <sz val="14"/>
        <color theme="1"/>
        <rFont val="Noto Sans CJK SC"/>
        <family val="2"/>
      </rPr>
      <t>차 그린맨션</t>
    </r>
  </si>
  <si>
    <t>지앤필드종합건설</t>
  </si>
  <si>
    <t>옥빛마을14단지 부영</t>
  </si>
  <si>
    <t xml:space="preserve"> 자재 구매-448,000 (224,000원 차감)</t>
  </si>
  <si>
    <t>일성3차 능수</t>
  </si>
  <si>
    <t xml:space="preserve"> 자재 구매-467,400 (233,700원 차감)</t>
  </si>
  <si>
    <t>생연주공</t>
  </si>
  <si>
    <t>지호건설</t>
  </si>
  <si>
    <t>래미안안양메가트리아</t>
  </si>
  <si>
    <t xml:space="preserve"> 자재 구매-2,469,000 (1,234,500원 차감)</t>
  </si>
  <si>
    <t>서수원자이</t>
  </si>
  <si>
    <t xml:space="preserve"> 자재 구매-2,641,600 (1,320,800원 차감)</t>
  </si>
  <si>
    <t>로토텍다이아몬드</t>
  </si>
  <si>
    <t>운암일신 2차</t>
  </si>
  <si>
    <t xml:space="preserve"> 자재 구매-4,696,000 (2,348,000원 차감)</t>
  </si>
  <si>
    <t>신흥마을</t>
  </si>
  <si>
    <t xml:space="preserve"> 자재 구매-1,800,000 (-900,000원 차감)</t>
  </si>
  <si>
    <t>메르하우젠</t>
  </si>
  <si>
    <t xml:space="preserve"> 자재 구매-48,000 (-24,000원 차감)</t>
  </si>
  <si>
    <t>지안스로가</t>
  </si>
  <si>
    <t xml:space="preserve"> 자재 구매-2,082,200 (-1,041,100원 차감)</t>
  </si>
  <si>
    <t>천호현대</t>
  </si>
  <si>
    <t xml:space="preserve"> 자재 구매-2,760,000</t>
  </si>
  <si>
    <t>성남 한빛스위티 주상복합</t>
  </si>
  <si>
    <t xml:space="preserve"> 자재 구매-243,000</t>
  </si>
  <si>
    <t>신음금류1차</t>
  </si>
  <si>
    <t>주원디엔피</t>
  </si>
  <si>
    <t>정자동 대림진흥</t>
  </si>
  <si>
    <t>예랑건설</t>
  </si>
  <si>
    <t>이안 더 센트럴</t>
  </si>
  <si>
    <t>상인청구</t>
  </si>
  <si>
    <t xml:space="preserve"> 자재 구매-2,230,000</t>
  </si>
  <si>
    <t>세원티엠</t>
  </si>
  <si>
    <t>강변래미안</t>
  </si>
  <si>
    <t xml:space="preserve"> 자재 구매-1,947,000</t>
  </si>
  <si>
    <t>한별이앤씨</t>
  </si>
  <si>
    <t>부영맨션 508동</t>
  </si>
  <si>
    <t xml:space="preserve"> 자재 구매-944,100</t>
  </si>
  <si>
    <t>도원씨엔씨</t>
  </si>
  <si>
    <t>유등마을쌍용</t>
  </si>
  <si>
    <t xml:space="preserve"> 자재 구매-7,024,600</t>
  </si>
  <si>
    <t>영종힐스테이트</t>
  </si>
  <si>
    <t xml:space="preserve"> 자재 구매-3,960,000</t>
  </si>
  <si>
    <t>대방1차e-편한세상</t>
  </si>
  <si>
    <t xml:space="preserve"> 자재 구매-1,350,000</t>
  </si>
  <si>
    <t>광교상떼빌파크뷰</t>
  </si>
  <si>
    <t>경하이앤씨</t>
  </si>
  <si>
    <t>이천롯데골드스카이</t>
  </si>
  <si>
    <r>
      <rPr>
        <b/>
        <sz val="14"/>
        <color theme="1"/>
        <rFont val="맑은 고딕"/>
        <family val="3"/>
        <charset val="129"/>
      </rPr>
      <t xml:space="preserve">3. </t>
    </r>
    <r>
      <rPr>
        <b/>
        <sz val="14"/>
        <color theme="1"/>
        <rFont val="Noto Sans CJK SC"/>
        <family val="2"/>
      </rPr>
      <t>솔루션 현장</t>
    </r>
  </si>
  <si>
    <t>업체 정산내역</t>
  </si>
  <si>
    <t>업체 차감내역</t>
  </si>
  <si>
    <t>대금 회수 내역</t>
  </si>
  <si>
    <t>공사 내역</t>
  </si>
  <si>
    <t>청구액
(A)</t>
  </si>
  <si>
    <t>정산 비율</t>
  </si>
  <si>
    <t>정산 금액</t>
  </si>
  <si>
    <t>정산합계(B)</t>
  </si>
  <si>
    <t>노무비</t>
  </si>
  <si>
    <t>자재</t>
  </si>
  <si>
    <t>지급수수료</t>
  </si>
  <si>
    <t>현장보험료</t>
  </si>
  <si>
    <t>차감총액( C)</t>
  </si>
  <si>
    <t>최종잔금
(A-B-C)</t>
  </si>
  <si>
    <t>발행 금액</t>
  </si>
  <si>
    <t>미입금액</t>
  </si>
  <si>
    <t>잔액
(계산서발행o,
입금x)</t>
  </si>
  <si>
    <t>드림종합건설</t>
  </si>
  <si>
    <t>홍은풍림1차</t>
  </si>
  <si>
    <t xml:space="preserve">재도장 </t>
  </si>
  <si>
    <r>
      <rPr>
        <b/>
        <sz val="16"/>
        <color theme="1"/>
        <rFont val="맑은 고딕"/>
        <family val="3"/>
        <charset val="129"/>
      </rPr>
      <t xml:space="preserve"> 4. </t>
    </r>
    <r>
      <rPr>
        <b/>
        <sz val="16"/>
        <color theme="1"/>
        <rFont val="Noto Sans CJK SC"/>
        <family val="2"/>
      </rPr>
      <t>자재매출</t>
    </r>
  </si>
  <si>
    <t>발행일</t>
  </si>
  <si>
    <t>공급가</t>
  </si>
  <si>
    <t>합 계</t>
  </si>
  <si>
    <t>비 고</t>
  </si>
  <si>
    <t>월곡일산</t>
  </si>
  <si>
    <t>채권추심 진행 중</t>
  </si>
  <si>
    <t>문지동효성해링턴</t>
  </si>
  <si>
    <t>세종다원파크리안</t>
  </si>
  <si>
    <t>효성해링턴플레이스</t>
  </si>
  <si>
    <t>삼인유엔아이</t>
  </si>
  <si>
    <t>행복한마을서해그랑블</t>
  </si>
  <si>
    <t>24.11.29/25.4.29/25.08.08</t>
  </si>
  <si>
    <r>
      <rPr>
        <sz val="11"/>
        <color theme="1"/>
        <rFont val="맑은 고딕"/>
        <family val="2"/>
        <charset val="129"/>
      </rPr>
      <t>*26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2"/>
        <charset val="129"/>
      </rPr>
      <t>1</t>
    </r>
    <r>
      <rPr>
        <sz val="11"/>
        <color theme="1"/>
        <rFont val="Noto Sans CJK SC"/>
        <family val="2"/>
      </rPr>
      <t>분기 입금 예정</t>
    </r>
  </si>
  <si>
    <t>백승</t>
  </si>
  <si>
    <t>명지중흥S클래스</t>
  </si>
  <si>
    <r>
      <rPr>
        <sz val="11"/>
        <color theme="1"/>
        <rFont val="맑은 고딕"/>
        <family val="2"/>
        <charset val="129"/>
      </rPr>
      <t>*</t>
    </r>
    <r>
      <rPr>
        <sz val="11"/>
        <color theme="1"/>
        <rFont val="Noto Sans CJK SC"/>
        <family val="2"/>
      </rPr>
      <t>보증보험 증권 발행 예정</t>
    </r>
  </si>
  <si>
    <t>부산명지중흥S클래스</t>
  </si>
  <si>
    <t>관저어반힐스</t>
  </si>
  <si>
    <t>부영씨앤씨</t>
  </si>
  <si>
    <t>까치마을신원</t>
  </si>
  <si>
    <r>
      <rPr>
        <sz val="11"/>
        <color theme="1"/>
        <rFont val="맑은 고딕"/>
        <family val="2"/>
        <charset val="129"/>
      </rPr>
      <t>*</t>
    </r>
    <r>
      <rPr>
        <sz val="11"/>
        <color theme="1"/>
        <rFont val="Noto Sans CJK SC"/>
        <family val="2"/>
      </rPr>
      <t>대표님 결제 후 입금 예정</t>
    </r>
  </si>
  <si>
    <t>우리방재건설</t>
  </si>
  <si>
    <t>삼천세창짜임</t>
  </si>
  <si>
    <r>
      <rPr>
        <sz val="11"/>
        <color theme="1"/>
        <rFont val="맑은 고딕"/>
        <family val="2"/>
        <charset val="129"/>
      </rPr>
      <t>*10/20</t>
    </r>
    <r>
      <rPr>
        <sz val="11"/>
        <color theme="1"/>
        <rFont val="Noto Sans CJK SC"/>
        <family val="2"/>
      </rPr>
      <t>일 주차 중도금 신청 예정으로 발주처 입금 시 정산 예정</t>
    </r>
  </si>
  <si>
    <t>밤섬경남아너스빌</t>
  </si>
  <si>
    <t>다한건설</t>
  </si>
  <si>
    <t>양산반도유보라4차</t>
  </si>
  <si>
    <t>성훈종합건설</t>
  </si>
  <si>
    <t>호원건영</t>
  </si>
  <si>
    <t>분당 시범한양</t>
  </si>
  <si>
    <t>원주호반베르디움 2차더힐</t>
  </si>
  <si>
    <t>분당시범한양</t>
  </si>
  <si>
    <t>목감신안인스빌</t>
  </si>
  <si>
    <t>삼천세창짜임 자재반환</t>
  </si>
  <si>
    <t>다산종합건설</t>
  </si>
  <si>
    <t>김포한강신도시롯데캐슬</t>
  </si>
  <si>
    <t>해운대센텀트루엘1단지</t>
  </si>
  <si>
    <t>덕일산업</t>
  </si>
  <si>
    <t>화봉쌍용예가</t>
  </si>
  <si>
    <t>포항자이</t>
  </si>
  <si>
    <t>현대도건</t>
  </si>
  <si>
    <t>목포신안인스빌</t>
  </si>
  <si>
    <t>연산동현대홈타운</t>
  </si>
  <si>
    <t>잠실리센츠 (에폭시)</t>
  </si>
  <si>
    <t>아우리</t>
  </si>
  <si>
    <t>매탄삼성1차</t>
  </si>
  <si>
    <t>석진건설</t>
  </si>
  <si>
    <t>포레나광교상현</t>
  </si>
  <si>
    <t>로운건설</t>
  </si>
  <si>
    <t>풍년마을동양신명(캐노피직영)</t>
  </si>
  <si>
    <t>자재대금 일부만 입금됨(25.11.28)</t>
  </si>
  <si>
    <t>국제특수건설</t>
  </si>
  <si>
    <t>등촌임광그린</t>
  </si>
  <si>
    <t>도방건설</t>
  </si>
  <si>
    <t>중흥마을1단지부영 (CNC)</t>
  </si>
  <si>
    <t>잠실리센츠 ( 에폭시 )</t>
  </si>
  <si>
    <t>대방1차이편한세상</t>
  </si>
  <si>
    <t>양산유탑유블레스 ( 에폭시 )</t>
  </si>
  <si>
    <t>사무실 택배</t>
  </si>
  <si>
    <t>경기이앤에스</t>
  </si>
  <si>
    <t>연향금호타운 ( 에폭시 )</t>
  </si>
  <si>
    <t>임광그린 자재반환</t>
  </si>
  <si>
    <t>화봉쌍용예가 자재반환</t>
  </si>
  <si>
    <t>안성공도만정626</t>
  </si>
  <si>
    <t>유진에코</t>
  </si>
  <si>
    <t>신우희가로</t>
  </si>
  <si>
    <t>에스피플래닝</t>
  </si>
  <si>
    <t>한양청솔</t>
  </si>
  <si>
    <t>남양산역반도유보라아이파크5차</t>
  </si>
  <si>
    <t>우단건설</t>
  </si>
  <si>
    <t>함안대경파미르</t>
  </si>
  <si>
    <t>국일구조</t>
  </si>
  <si>
    <t>중동역2차푸르지오</t>
  </si>
  <si>
    <t>목강신안인스빌</t>
  </si>
  <si>
    <t>관리미수금</t>
    <phoneticPr fontId="47" type="noConversion"/>
  </si>
  <si>
    <t>미수금액2</t>
    <phoneticPr fontId="47" type="noConversion"/>
  </si>
  <si>
    <t>2026-01-08</t>
  </si>
  <si>
    <t>20260108-10260108-95917215</t>
  </si>
  <si>
    <t/>
  </si>
  <si>
    <t>408-81-67484</t>
  </si>
  <si>
    <t>정광이엔씨</t>
  </si>
  <si>
    <t>박성배</t>
  </si>
  <si>
    <t>서울특별시 광진구 뚝섬로31길 11(자양동,2층)</t>
  </si>
  <si>
    <t>일반</t>
  </si>
  <si>
    <t>jungyoon0343@hanmail.net</t>
  </si>
  <si>
    <t>528,000</t>
  </si>
  <si>
    <t>경동 안성공도만정626</t>
  </si>
  <si>
    <t>(주)석민이앤씨</t>
  </si>
  <si>
    <r>
      <rPr>
        <sz val="10"/>
        <color theme="1"/>
        <rFont val="Noto Sans CJK SC"/>
        <family val="3"/>
      </rPr>
      <t xml:space="preserve">	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Noto Sans CJK SC"/>
        <family val="3"/>
      </rPr>
      <t>)</t>
    </r>
    <r>
      <rPr>
        <sz val="10"/>
        <color theme="1"/>
        <rFont val="맑은 고딕"/>
        <family val="3"/>
        <charset val="129"/>
      </rPr>
      <t>청명이앤디</t>
    </r>
    <phoneticPr fontId="47" type="noConversion"/>
  </si>
  <si>
    <r>
      <rPr>
        <sz val="10"/>
        <color theme="1"/>
        <rFont val="Noto Sans CJK SC"/>
        <family val="3"/>
      </rPr>
      <t xml:space="preserve">	</t>
    </r>
    <r>
      <rPr>
        <sz val="10"/>
        <color theme="1"/>
        <rFont val="맑은 고딕"/>
        <family val="3"/>
        <charset val="129"/>
      </rPr>
      <t>영주동</t>
    </r>
    <r>
      <rPr>
        <sz val="10"/>
        <color theme="1"/>
        <rFont val="Noto Sans CJK SC"/>
        <family val="3"/>
      </rPr>
      <t xml:space="preserve"> </t>
    </r>
    <r>
      <rPr>
        <sz val="10"/>
        <color theme="1"/>
        <rFont val="맑은 고딕"/>
        <family val="3"/>
        <charset val="129"/>
      </rPr>
      <t>도경오벨리스아파트</t>
    </r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</si>
</sst>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(* #,##0_);_(* \(#,##0\);_(* \-_);_(@_)"/>
    <numFmt numFmtId="177" formatCode="0.0%"/>
    <numFmt numFmtId="178" formatCode="_-* #,##0_-;\-* #,##0_-;_-* \-_-;_-@_-"/>
    <numFmt numFmtId="179" formatCode="m/d/yyyy"/>
    <numFmt numFmtId="180" formatCode="yyyy\-mm\-dd"/>
    <numFmt numFmtId="181" formatCode="_-* #,##0.0_-;\-* #,##0.0_-;_-* \-?_-;_-@_-"/>
    <numFmt numFmtId="182" formatCode="yy\/m\/d;@"/>
    <numFmt numFmtId="183" formatCode="0&quot;일&quot;"/>
    <numFmt numFmtId="184" formatCode="#,##0_ ;[Red]\-#,##0\ "/>
  </numFmts>
  <fonts count="50">
    <font>
      <sz val="11"/>
      <color theme="1"/>
      <name val="맑은 고딕"/>
      <family val="2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4"/>
      <color theme="0"/>
      <name val="Noto Sans CJK SC"/>
      <family val="2"/>
    </font>
    <font>
      <b/>
      <sz val="14"/>
      <color rgb="FF2C3E50"/>
      <name val="맑은 고딕"/>
      <family val="3"/>
      <charset val="129"/>
    </font>
    <font>
      <b/>
      <sz val="9"/>
      <color rgb="FFFFFFFF"/>
      <name val="Noto Sans CJK SC"/>
      <family val="2"/>
      <charset val="1"/>
    </font>
    <font>
      <b/>
      <sz val="11"/>
      <color rgb="FF2C3E50"/>
      <name val="맑은 고딕"/>
      <family val="3"/>
      <charset val="129"/>
    </font>
    <font>
      <b/>
      <sz val="11"/>
      <color rgb="FF2C3E50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sz val="10"/>
      <color rgb="FF7F8C8D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0"/>
      <name val="맑은 고딕"/>
      <family val="3"/>
      <charset val="129"/>
    </font>
    <font>
      <sz val="10"/>
      <color theme="0" tint="-0.499984740745262"/>
      <name val="Noto Sans CJK SC"/>
      <family val="2"/>
      <charset val="1"/>
    </font>
    <font>
      <sz val="11"/>
      <color theme="1"/>
      <name val="맑은 고딕"/>
      <family val="3"/>
      <charset val="129"/>
    </font>
    <font>
      <b/>
      <sz val="10"/>
      <color theme="0"/>
      <name val="Noto Sans CJK SC"/>
      <family val="2"/>
      <charset val="1"/>
    </font>
    <font>
      <b/>
      <sz val="10"/>
      <color theme="0"/>
      <name val="Noto Sans CJK SC"/>
      <family val="3"/>
      <charset val="129"/>
    </font>
    <font>
      <b/>
      <sz val="10"/>
      <color theme="0"/>
      <name val="Noto Sans CJK SC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Noto Sans CJK SC"/>
      <family val="2"/>
      <charset val="1"/>
    </font>
    <font>
      <sz val="10"/>
      <color theme="1"/>
      <name val="Noto Sans CJK SC"/>
      <family val="3"/>
      <charset val="129"/>
    </font>
    <font>
      <sz val="11"/>
      <color rgb="FFAAAAAA"/>
      <name val="Noto Sans CJK SC"/>
      <family val="2"/>
      <charset val="1"/>
    </font>
    <font>
      <sz val="11"/>
      <color rgb="FFAAAAAA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sz val="11"/>
      <color theme="1"/>
      <name val="Noto Sans CJK SC"/>
      <family val="2"/>
    </font>
    <font>
      <sz val="10"/>
      <color theme="1"/>
      <name val="Noto Sans CJK SC"/>
      <family val="2"/>
    </font>
    <font>
      <sz val="16"/>
      <color theme="1"/>
      <name val="맑은 고딕"/>
      <family val="3"/>
      <charset val="129"/>
    </font>
    <font>
      <sz val="25"/>
      <color theme="1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4"/>
      <color theme="1"/>
      <name val="Noto Sans CJK SC"/>
      <family val="2"/>
    </font>
    <font>
      <sz val="14"/>
      <color theme="1"/>
      <name val="Noto Sans CJK SC"/>
      <family val="2"/>
      <charset val="1"/>
    </font>
    <font>
      <sz val="14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4"/>
      <color theme="1"/>
      <name val="Noto Sans CJK SC"/>
      <family val="2"/>
    </font>
    <font>
      <b/>
      <sz val="16"/>
      <color theme="1"/>
      <name val="맑은 고딕"/>
      <family val="3"/>
      <charset val="129"/>
    </font>
    <font>
      <b/>
      <sz val="16"/>
      <color theme="1"/>
      <name val="Noto Sans CJK SC"/>
      <family val="2"/>
    </font>
    <font>
      <sz val="11"/>
      <color theme="1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맑은 고딕"/>
      <family val="3"/>
      <charset val="129"/>
    </font>
    <font>
      <sz val="10"/>
      <name val="Noto Sans CJK SC"/>
      <family val="2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Noto Sans CJK SC"/>
      <family val="3"/>
    </font>
    <font>
      <sz val="10"/>
      <color theme="1"/>
      <name val="Noto Sans CJK SC"/>
      <family val="3"/>
      <charset val="1"/>
    </font>
  </fonts>
  <fills count="18">
    <fill>
      <patternFill patternType="none"/>
    </fill>
    <fill>
      <patternFill patternType="gray125"/>
    </fill>
    <fill>
      <patternFill patternType="solid">
        <fgColor theme="1" tint="0.49967955565050204"/>
        <bgColor rgb="FF808080"/>
      </patternFill>
    </fill>
    <fill>
      <patternFill patternType="solid">
        <fgColor rgb="FF27AE60"/>
        <bgColor rgb="FF008080"/>
      </patternFill>
    </fill>
    <fill>
      <patternFill patternType="solid">
        <fgColor rgb="FF3498DB"/>
        <bgColor rgb="FF33CCCC"/>
      </patternFill>
    </fill>
    <fill>
      <patternFill patternType="solid">
        <fgColor rgb="FFE74C3C"/>
        <bgColor rgb="FFFF8080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2C3E50"/>
        <bgColor rgb="FF33339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rgb="FFD6DBDF"/>
        <bgColor rgb="FFD9D9D9"/>
      </patternFill>
    </fill>
    <fill>
      <patternFill patternType="solid">
        <fgColor theme="3" tint="0.24909207434308908"/>
        <bgColor rgb="FF008080"/>
      </patternFill>
    </fill>
    <fill>
      <patternFill patternType="solid">
        <fgColor theme="5" tint="0.79979857783745845"/>
        <bgColor rgb="FFF2F2F2"/>
      </patternFill>
    </fill>
    <fill>
      <patternFill patternType="solid">
        <fgColor theme="0" tint="-0.249977111117893"/>
        <bgColor rgb="FFBDC3C7"/>
      </patternFill>
    </fill>
    <fill>
      <patternFill patternType="solid">
        <fgColor theme="6" tint="0.79979857783745845"/>
        <bgColor rgb="FFD5F5E3"/>
      </patternFill>
    </fill>
    <fill>
      <patternFill patternType="solid">
        <fgColor theme="0" tint="-0.14999847407452621"/>
        <bgColor rgb="FFD6DBDF"/>
      </patternFill>
    </fill>
  </fills>
  <borders count="10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theme="0" tint="-0.14999847407452621"/>
      </left>
      <right/>
      <top/>
      <bottom style="medium">
        <color theme="0" tint="-0.1498764000366222"/>
      </bottom>
      <diagonal/>
    </border>
    <border>
      <left/>
      <right/>
      <top/>
      <bottom style="medium">
        <color theme="0" tint="-0.1498764000366222"/>
      </bottom>
      <diagonal/>
    </border>
    <border>
      <left/>
      <right style="medium">
        <color theme="0" tint="-0.14999847407452621"/>
      </right>
      <top/>
      <bottom style="medium">
        <color theme="0" tint="-0.1498764000366222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auto="1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auto="1"/>
      </right>
      <top/>
      <bottom style="thin">
        <color theme="0" tint="-0.14999847407452621"/>
      </bottom>
      <diagonal/>
    </border>
    <border>
      <left style="thin">
        <color auto="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auto="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>
      <alignment vertical="center"/>
    </xf>
    <xf numFmtId="9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176" fontId="14" fillId="0" borderId="0"/>
    <xf numFmtId="41" fontId="46" fillId="0" borderId="0" applyFont="0" applyFill="0" applyBorder="0" applyAlignment="0" applyProtection="0">
      <alignment vertical="center"/>
    </xf>
  </cellStyleXfs>
  <cellXfs count="393">
    <xf numFmtId="0" fontId="0" fillId="0" borderId="0" xfId="0">
      <alignment vertical="center"/>
    </xf>
    <xf numFmtId="0" fontId="8" fillId="4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 applyAlignment="1"/>
    <xf numFmtId="0" fontId="4" fillId="2" borderId="1" xfId="0" applyFont="1" applyFill="1" applyBorder="1" applyAlignment="1">
      <alignment horizontal="center"/>
    </xf>
    <xf numFmtId="0" fontId="0" fillId="0" borderId="3" xfId="0" applyBorder="1" applyAlignment="1"/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/>
    <xf numFmtId="0" fontId="2" fillId="0" borderId="5" xfId="0" applyFont="1" applyBorder="1" applyAlignment="1"/>
    <xf numFmtId="0" fontId="0" fillId="0" borderId="5" xfId="0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7" fontId="9" fillId="6" borderId="9" xfId="0" applyNumberFormat="1" applyFont="1" applyFill="1" applyBorder="1" applyAlignment="1">
      <alignment horizontal="center" vertical="center"/>
    </xf>
    <xf numFmtId="177" fontId="9" fillId="7" borderId="9" xfId="0" applyNumberFormat="1" applyFont="1" applyFill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9" fillId="0" borderId="0" xfId="0" applyFont="1" applyAlignment="1"/>
    <xf numFmtId="0" fontId="8" fillId="8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3" fontId="13" fillId="9" borderId="13" xfId="0" applyNumberFormat="1" applyFont="1" applyFill="1" applyBorder="1" applyAlignment="1">
      <alignment horizontal="center" vertical="center"/>
    </xf>
    <xf numFmtId="3" fontId="3" fillId="9" borderId="13" xfId="0" applyNumberFormat="1" applyFont="1" applyFill="1" applyBorder="1" applyAlignment="1">
      <alignment horizontal="right" vertical="center"/>
    </xf>
    <xf numFmtId="0" fontId="13" fillId="10" borderId="9" xfId="0" applyFont="1" applyFill="1" applyBorder="1" applyAlignment="1">
      <alignment horizontal="left" vertical="center"/>
    </xf>
    <xf numFmtId="178" fontId="14" fillId="0" borderId="9" xfId="7" applyNumberFormat="1" applyBorder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0" fontId="13" fillId="10" borderId="14" xfId="0" applyFont="1" applyFill="1" applyBorder="1" applyAlignment="1">
      <alignment horizontal="left" vertical="center"/>
    </xf>
    <xf numFmtId="178" fontId="14" fillId="0" borderId="14" xfId="7" applyNumberFormat="1" applyBorder="1" applyAlignment="1">
      <alignment horizontal="right" vertical="center"/>
    </xf>
    <xf numFmtId="0" fontId="15" fillId="11" borderId="15" xfId="0" applyFont="1" applyFill="1" applyBorder="1" applyAlignment="1">
      <alignment horizontal="left" vertical="center"/>
    </xf>
    <xf numFmtId="178" fontId="14" fillId="11" borderId="15" xfId="7" applyNumberForma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5" fillId="11" borderId="9" xfId="0" applyFont="1" applyFill="1" applyBorder="1" applyAlignment="1">
      <alignment horizontal="left" vertical="center"/>
    </xf>
    <xf numFmtId="178" fontId="14" fillId="11" borderId="9" xfId="7" applyNumberFormat="1" applyFill="1" applyBorder="1" applyAlignment="1">
      <alignment horizontal="right" vertical="center"/>
    </xf>
    <xf numFmtId="0" fontId="16" fillId="12" borderId="13" xfId="0" applyFont="1" applyFill="1" applyBorder="1" applyAlignment="1">
      <alignment horizontal="left" vertical="center"/>
    </xf>
    <xf numFmtId="3" fontId="17" fillId="12" borderId="13" xfId="0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11" fillId="8" borderId="9" xfId="0" applyNumberFormat="1" applyFont="1" applyFill="1" applyBorder="1" applyAlignment="1">
      <alignment horizontal="center" vertical="center"/>
    </xf>
    <xf numFmtId="177" fontId="11" fillId="8" borderId="9" xfId="0" applyNumberFormat="1" applyFont="1" applyFill="1" applyBorder="1" applyAlignment="1">
      <alignment horizontal="center" vertical="center"/>
    </xf>
    <xf numFmtId="178" fontId="14" fillId="0" borderId="13" xfId="7" applyNumberFormat="1" applyBorder="1" applyAlignment="1">
      <alignment horizontal="right" vertical="center"/>
    </xf>
    <xf numFmtId="0" fontId="18" fillId="11" borderId="15" xfId="0" applyFont="1" applyFill="1" applyBorder="1" applyAlignment="1">
      <alignment horizontal="left" vertical="center"/>
    </xf>
    <xf numFmtId="0" fontId="18" fillId="11" borderId="9" xfId="0" applyFont="1" applyFill="1" applyBorder="1" applyAlignment="1">
      <alignment horizontal="left" vertical="center"/>
    </xf>
    <xf numFmtId="3" fontId="3" fillId="0" borderId="0" xfId="0" applyNumberFormat="1" applyFont="1" applyAlignment="1"/>
    <xf numFmtId="3" fontId="3" fillId="0" borderId="11" xfId="0" applyNumberFormat="1" applyFont="1" applyBorder="1" applyAlignment="1"/>
    <xf numFmtId="0" fontId="19" fillId="0" borderId="0" xfId="0" applyFont="1" applyAlignment="1"/>
    <xf numFmtId="178" fontId="3" fillId="0" borderId="0" xfId="0" applyNumberFormat="1" applyFont="1" applyAlignment="1"/>
    <xf numFmtId="178" fontId="3" fillId="0" borderId="0" xfId="0" applyNumberFormat="1" applyFont="1">
      <alignment vertical="center"/>
    </xf>
    <xf numFmtId="178" fontId="17" fillId="0" borderId="0" xfId="0" applyNumberFormat="1" applyFont="1" applyAlignment="1"/>
    <xf numFmtId="179" fontId="19" fillId="0" borderId="0" xfId="0" applyNumberFormat="1" applyFont="1" applyAlignment="1"/>
    <xf numFmtId="0" fontId="19" fillId="0" borderId="0" xfId="0" applyFont="1" applyAlignment="1">
      <alignment horizontal="center"/>
    </xf>
    <xf numFmtId="0" fontId="19" fillId="0" borderId="0" xfId="0" applyFont="1">
      <alignment vertical="center"/>
    </xf>
    <xf numFmtId="0" fontId="19" fillId="10" borderId="0" xfId="0" applyFont="1" applyFill="1">
      <alignment vertical="center"/>
    </xf>
    <xf numFmtId="0" fontId="20" fillId="13" borderId="16" xfId="0" applyFont="1" applyFill="1" applyBorder="1" applyAlignment="1">
      <alignment horizontal="center" vertical="center" wrapText="1"/>
    </xf>
    <xf numFmtId="0" fontId="20" fillId="13" borderId="17" xfId="0" applyFont="1" applyFill="1" applyBorder="1" applyAlignment="1">
      <alignment horizontal="center" vertical="center" wrapText="1"/>
    </xf>
    <xf numFmtId="178" fontId="21" fillId="13" borderId="17" xfId="0" applyNumberFormat="1" applyFont="1" applyFill="1" applyBorder="1" applyAlignment="1">
      <alignment horizontal="center" vertical="center" wrapText="1"/>
    </xf>
    <xf numFmtId="178" fontId="20" fillId="13" borderId="17" xfId="0" applyNumberFormat="1" applyFont="1" applyFill="1" applyBorder="1" applyAlignment="1">
      <alignment horizontal="center" vertical="center" wrapText="1"/>
    </xf>
    <xf numFmtId="179" fontId="20" fillId="13" borderId="17" xfId="0" applyNumberFormat="1" applyFont="1" applyFill="1" applyBorder="1" applyAlignment="1">
      <alignment horizontal="center" vertical="center" wrapText="1"/>
    </xf>
    <xf numFmtId="0" fontId="21" fillId="13" borderId="17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0" fillId="13" borderId="18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16" fillId="14" borderId="16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16" fillId="15" borderId="16" xfId="0" applyFont="1" applyFill="1" applyBorder="1" applyAlignment="1">
      <alignment horizontal="center" vertical="center" wrapText="1"/>
    </xf>
    <xf numFmtId="0" fontId="16" fillId="15" borderId="17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16" fillId="15" borderId="19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10" borderId="20" xfId="0" applyFont="1" applyFill="1" applyBorder="1">
      <alignment vertical="center"/>
    </xf>
    <xf numFmtId="0" fontId="24" fillId="10" borderId="21" xfId="0" applyFont="1" applyFill="1" applyBorder="1">
      <alignment vertical="center"/>
    </xf>
    <xf numFmtId="0" fontId="25" fillId="10" borderId="21" xfId="0" applyFont="1" applyFill="1" applyBorder="1">
      <alignment vertical="center"/>
    </xf>
    <xf numFmtId="178" fontId="3" fillId="0" borderId="21" xfId="0" applyNumberFormat="1" applyFont="1" applyBorder="1">
      <alignment vertical="center"/>
    </xf>
    <xf numFmtId="178" fontId="17" fillId="0" borderId="21" xfId="0" applyNumberFormat="1" applyFont="1" applyBorder="1">
      <alignment vertical="center"/>
    </xf>
    <xf numFmtId="178" fontId="13" fillId="10" borderId="21" xfId="0" applyNumberFormat="1" applyFont="1" applyFill="1" applyBorder="1">
      <alignment vertical="center"/>
    </xf>
    <xf numFmtId="179" fontId="3" fillId="10" borderId="21" xfId="0" applyNumberFormat="1" applyFont="1" applyFill="1" applyBorder="1">
      <alignment vertical="center"/>
    </xf>
    <xf numFmtId="180" fontId="3" fillId="10" borderId="21" xfId="0" applyNumberFormat="1" applyFont="1" applyFill="1" applyBorder="1" applyAlignment="1">
      <alignment horizontal="center" vertical="center"/>
    </xf>
    <xf numFmtId="178" fontId="3" fillId="10" borderId="21" xfId="0" applyNumberFormat="1" applyFont="1" applyFill="1" applyBorder="1">
      <alignment vertical="center"/>
    </xf>
    <xf numFmtId="178" fontId="3" fillId="0" borderId="22" xfId="0" applyNumberFormat="1" applyFont="1" applyBorder="1" applyAlignment="1">
      <alignment horizontal="center" vertical="center"/>
    </xf>
    <xf numFmtId="178" fontId="13" fillId="0" borderId="23" xfId="0" applyNumberFormat="1" applyFont="1" applyBorder="1">
      <alignment vertical="center"/>
    </xf>
    <xf numFmtId="178" fontId="3" fillId="0" borderId="24" xfId="0" applyNumberFormat="1" applyFont="1" applyBorder="1">
      <alignment vertical="center"/>
    </xf>
    <xf numFmtId="178" fontId="3" fillId="0" borderId="22" xfId="0" applyNumberFormat="1" applyFont="1" applyBorder="1">
      <alignment vertical="center"/>
    </xf>
    <xf numFmtId="9" fontId="3" fillId="0" borderId="24" xfId="0" applyNumberFormat="1" applyFont="1" applyBorder="1">
      <alignment vertical="center"/>
    </xf>
    <xf numFmtId="178" fontId="3" fillId="0" borderId="25" xfId="0" applyNumberFormat="1" applyFont="1" applyBorder="1">
      <alignment vertical="center"/>
    </xf>
    <xf numFmtId="9" fontId="0" fillId="0" borderId="0" xfId="0" applyNumberFormat="1">
      <alignment vertical="center"/>
    </xf>
    <xf numFmtId="0" fontId="3" fillId="10" borderId="0" xfId="0" applyFont="1" applyFill="1">
      <alignment vertical="center"/>
    </xf>
    <xf numFmtId="0" fontId="2" fillId="10" borderId="20" xfId="0" applyFont="1" applyFill="1" applyBorder="1">
      <alignment vertical="center"/>
    </xf>
    <xf numFmtId="0" fontId="26" fillId="10" borderId="21" xfId="0" applyFont="1" applyFill="1" applyBorder="1">
      <alignment vertical="center"/>
    </xf>
    <xf numFmtId="178" fontId="27" fillId="0" borderId="21" xfId="0" applyNumberFormat="1" applyFont="1" applyBorder="1">
      <alignment vertical="center"/>
    </xf>
    <xf numFmtId="178" fontId="24" fillId="10" borderId="21" xfId="0" applyNumberFormat="1" applyFont="1" applyFill="1" applyBorder="1">
      <alignment vertical="center"/>
    </xf>
    <xf numFmtId="179" fontId="2" fillId="10" borderId="21" xfId="0" applyNumberFormat="1" applyFont="1" applyFill="1" applyBorder="1">
      <alignment vertical="center"/>
    </xf>
    <xf numFmtId="180" fontId="2" fillId="10" borderId="21" xfId="0" applyNumberFormat="1" applyFont="1" applyFill="1" applyBorder="1" applyAlignment="1">
      <alignment horizontal="center" vertical="center"/>
    </xf>
    <xf numFmtId="181" fontId="2" fillId="10" borderId="21" xfId="0" applyNumberFormat="1" applyFont="1" applyFill="1" applyBorder="1">
      <alignment vertical="center"/>
    </xf>
    <xf numFmtId="178" fontId="2" fillId="10" borderId="21" xfId="0" applyNumberFormat="1" applyFont="1" applyFill="1" applyBorder="1">
      <alignment vertical="center"/>
    </xf>
    <xf numFmtId="178" fontId="2" fillId="0" borderId="22" xfId="0" applyNumberFormat="1" applyFont="1" applyBorder="1" applyAlignment="1">
      <alignment horizontal="center" vertical="center"/>
    </xf>
    <xf numFmtId="178" fontId="27" fillId="0" borderId="23" xfId="0" applyNumberFormat="1" applyFont="1" applyBorder="1">
      <alignment vertical="center"/>
    </xf>
    <xf numFmtId="178" fontId="2" fillId="0" borderId="24" xfId="0" applyNumberFormat="1" applyFont="1" applyBorder="1">
      <alignment vertical="center"/>
    </xf>
    <xf numFmtId="178" fontId="2" fillId="0" borderId="22" xfId="0" applyNumberFormat="1" applyFont="1" applyBorder="1">
      <alignment vertical="center"/>
    </xf>
    <xf numFmtId="178" fontId="2" fillId="0" borderId="23" xfId="0" applyNumberFormat="1" applyFont="1" applyBorder="1">
      <alignment vertical="center"/>
    </xf>
    <xf numFmtId="178" fontId="2" fillId="0" borderId="25" xfId="0" applyNumberFormat="1" applyFont="1" applyBorder="1">
      <alignment vertical="center"/>
    </xf>
    <xf numFmtId="0" fontId="2" fillId="10" borderId="0" xfId="0" applyFont="1" applyFill="1">
      <alignment vertical="center"/>
    </xf>
    <xf numFmtId="0" fontId="26" fillId="10" borderId="26" xfId="0" applyFont="1" applyFill="1" applyBorder="1">
      <alignment vertical="center"/>
    </xf>
    <xf numFmtId="0" fontId="24" fillId="10" borderId="26" xfId="0" applyFont="1" applyFill="1" applyBorder="1">
      <alignment vertical="center"/>
    </xf>
    <xf numFmtId="180" fontId="2" fillId="10" borderId="21" xfId="0" applyNumberFormat="1" applyFont="1" applyFill="1" applyBorder="1">
      <alignment vertical="center"/>
    </xf>
    <xf numFmtId="0" fontId="2" fillId="10" borderId="21" xfId="0" applyFont="1" applyFill="1" applyBorder="1">
      <alignment vertical="center"/>
    </xf>
    <xf numFmtId="0" fontId="25" fillId="10" borderId="21" xfId="0" applyFont="1" applyFill="1" applyBorder="1" applyAlignment="1">
      <alignment vertical="center" wrapText="1"/>
    </xf>
    <xf numFmtId="0" fontId="24" fillId="10" borderId="21" xfId="0" applyFont="1" applyFill="1" applyBorder="1" applyAlignment="1">
      <alignment vertical="center" wrapText="1"/>
    </xf>
    <xf numFmtId="178" fontId="27" fillId="0" borderId="26" xfId="0" applyNumberFormat="1" applyFont="1" applyBorder="1">
      <alignment vertical="center"/>
    </xf>
    <xf numFmtId="178" fontId="17" fillId="0" borderId="26" xfId="0" applyNumberFormat="1" applyFont="1" applyBorder="1">
      <alignment vertical="center"/>
    </xf>
    <xf numFmtId="178" fontId="24" fillId="10" borderId="26" xfId="0" applyNumberFormat="1" applyFont="1" applyFill="1" applyBorder="1">
      <alignment vertical="center"/>
    </xf>
    <xf numFmtId="180" fontId="0" fillId="0" borderId="0" xfId="0" applyNumberFormat="1" applyAlignment="1">
      <alignment horizontal="center" vertical="center"/>
    </xf>
    <xf numFmtId="178" fontId="19" fillId="0" borderId="0" xfId="0" applyNumberFormat="1" applyFont="1" applyAlignment="1">
      <alignment horizontal="center"/>
    </xf>
    <xf numFmtId="178" fontId="19" fillId="0" borderId="0" xfId="0" applyNumberFormat="1" applyFont="1" applyAlignment="1"/>
    <xf numFmtId="0" fontId="23" fillId="0" borderId="0" xfId="0" applyFont="1">
      <alignment vertical="center"/>
    </xf>
    <xf numFmtId="179" fontId="2" fillId="0" borderId="0" xfId="0" applyNumberFormat="1" applyFont="1">
      <alignment vertical="center"/>
    </xf>
    <xf numFmtId="0" fontId="2" fillId="10" borderId="0" xfId="0" applyFont="1" applyFill="1" applyAlignment="1">
      <alignment horizontal="center" vertical="center"/>
    </xf>
    <xf numFmtId="3" fontId="20" fillId="13" borderId="27" xfId="0" applyNumberFormat="1" applyFont="1" applyFill="1" applyBorder="1" applyAlignment="1">
      <alignment horizontal="center" vertical="center" wrapText="1"/>
    </xf>
    <xf numFmtId="3" fontId="21" fillId="13" borderId="27" xfId="0" applyNumberFormat="1" applyFont="1" applyFill="1" applyBorder="1" applyAlignment="1">
      <alignment horizontal="center" vertical="center" wrapText="1"/>
    </xf>
    <xf numFmtId="179" fontId="20" fillId="13" borderId="27" xfId="0" applyNumberFormat="1" applyFont="1" applyFill="1" applyBorder="1" applyAlignment="1">
      <alignment horizontal="center" vertical="center" wrapText="1"/>
    </xf>
    <xf numFmtId="178" fontId="20" fillId="13" borderId="27" xfId="0" applyNumberFormat="1" applyFont="1" applyFill="1" applyBorder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/>
    </xf>
    <xf numFmtId="0" fontId="2" fillId="10" borderId="28" xfId="0" applyFont="1" applyFill="1" applyBorder="1">
      <alignment vertical="center"/>
    </xf>
    <xf numFmtId="178" fontId="23" fillId="10" borderId="21" xfId="0" applyNumberFormat="1" applyFont="1" applyFill="1" applyBorder="1">
      <alignment vertical="center"/>
    </xf>
    <xf numFmtId="178" fontId="2" fillId="0" borderId="24" xfId="0" applyNumberFormat="1" applyFont="1" applyBorder="1" applyAlignment="1">
      <alignment horizontal="center" vertical="center"/>
    </xf>
    <xf numFmtId="0" fontId="2" fillId="10" borderId="3" xfId="0" applyFont="1" applyFill="1" applyBorder="1">
      <alignment vertical="center"/>
    </xf>
    <xf numFmtId="0" fontId="2" fillId="10" borderId="29" xfId="0" applyFont="1" applyFill="1" applyBorder="1">
      <alignment vertical="center"/>
    </xf>
    <xf numFmtId="0" fontId="24" fillId="10" borderId="29" xfId="0" applyFont="1" applyFill="1" applyBorder="1">
      <alignment vertical="center"/>
    </xf>
    <xf numFmtId="178" fontId="2" fillId="10" borderId="29" xfId="0" applyNumberFormat="1" applyFont="1" applyFill="1" applyBorder="1">
      <alignment vertical="center"/>
    </xf>
    <xf numFmtId="178" fontId="23" fillId="10" borderId="29" xfId="0" applyNumberFormat="1" applyFont="1" applyFill="1" applyBorder="1">
      <alignment vertical="center"/>
    </xf>
    <xf numFmtId="178" fontId="24" fillId="10" borderId="29" xfId="0" applyNumberFormat="1" applyFont="1" applyFill="1" applyBorder="1">
      <alignment vertical="center"/>
    </xf>
    <xf numFmtId="180" fontId="2" fillId="10" borderId="29" xfId="0" applyNumberFormat="1" applyFont="1" applyFill="1" applyBorder="1">
      <alignment vertical="center"/>
    </xf>
    <xf numFmtId="180" fontId="2" fillId="10" borderId="2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2" fillId="10" borderId="0" xfId="0" applyNumberFormat="1" applyFont="1" applyFill="1">
      <alignment vertical="center"/>
    </xf>
    <xf numFmtId="178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3" fontId="20" fillId="13" borderId="30" xfId="0" applyNumberFormat="1" applyFont="1" applyFill="1" applyBorder="1" applyAlignment="1">
      <alignment horizontal="center" vertical="center" wrapText="1"/>
    </xf>
    <xf numFmtId="179" fontId="20" fillId="13" borderId="30" xfId="0" applyNumberFormat="1" applyFont="1" applyFill="1" applyBorder="1" applyAlignment="1">
      <alignment horizontal="center" vertical="center"/>
    </xf>
    <xf numFmtId="179" fontId="20" fillId="13" borderId="31" xfId="0" applyNumberFormat="1" applyFont="1" applyFill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/>
    </xf>
    <xf numFmtId="178" fontId="20" fillId="13" borderId="31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4" fillId="0" borderId="21" xfId="0" applyFont="1" applyBorder="1">
      <alignment vertical="center"/>
    </xf>
    <xf numFmtId="178" fontId="2" fillId="0" borderId="21" xfId="0" applyNumberFormat="1" applyFont="1" applyBorder="1">
      <alignment vertical="center"/>
    </xf>
    <xf numFmtId="9" fontId="2" fillId="0" borderId="21" xfId="0" applyNumberFormat="1" applyFont="1" applyBorder="1" applyAlignment="1">
      <alignment horizontal="center" vertical="center"/>
    </xf>
    <xf numFmtId="3" fontId="2" fillId="0" borderId="21" xfId="0" applyNumberFormat="1" applyFont="1" applyBorder="1">
      <alignment vertical="center"/>
    </xf>
    <xf numFmtId="178" fontId="23" fillId="0" borderId="21" xfId="0" applyNumberFormat="1" applyFont="1" applyBorder="1">
      <alignment vertical="center"/>
    </xf>
    <xf numFmtId="180" fontId="2" fillId="0" borderId="21" xfId="0" applyNumberFormat="1" applyFont="1" applyBorder="1" applyAlignment="1">
      <alignment horizontal="center" vertical="center"/>
    </xf>
    <xf numFmtId="180" fontId="2" fillId="0" borderId="29" xfId="0" applyNumberFormat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4" fillId="0" borderId="29" xfId="0" applyFont="1" applyBorder="1">
      <alignment vertical="center"/>
    </xf>
    <xf numFmtId="178" fontId="2" fillId="0" borderId="29" xfId="0" applyNumberFormat="1" applyFont="1" applyBorder="1">
      <alignment vertical="center"/>
    </xf>
    <xf numFmtId="9" fontId="2" fillId="0" borderId="29" xfId="0" applyNumberFormat="1" applyFont="1" applyBorder="1" applyAlignment="1">
      <alignment horizontal="center" vertical="center"/>
    </xf>
    <xf numFmtId="3" fontId="2" fillId="0" borderId="29" xfId="0" applyNumberFormat="1" applyFont="1" applyBorder="1">
      <alignment vertical="center"/>
    </xf>
    <xf numFmtId="180" fontId="2" fillId="0" borderId="29" xfId="0" applyNumberFormat="1" applyFont="1" applyBorder="1" applyAlignment="1">
      <alignment horizontal="center" vertical="center"/>
    </xf>
    <xf numFmtId="178" fontId="2" fillId="0" borderId="1" xfId="0" applyNumberFormat="1" applyFont="1" applyBorder="1">
      <alignment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29" xfId="0" applyNumberFormat="1" applyFont="1" applyBorder="1">
      <alignment vertical="center"/>
    </xf>
    <xf numFmtId="0" fontId="0" fillId="16" borderId="0" xfId="0" applyFill="1">
      <alignment vertical="center"/>
    </xf>
    <xf numFmtId="178" fontId="0" fillId="0" borderId="0" xfId="0" applyNumberFormat="1" applyAlignment="1"/>
    <xf numFmtId="0" fontId="0" fillId="10" borderId="0" xfId="0" applyFill="1" applyAlignment="1"/>
    <xf numFmtId="180" fontId="2" fillId="10" borderId="3" xfId="0" applyNumberFormat="1" applyFont="1" applyFill="1" applyBorder="1">
      <alignment vertical="center"/>
    </xf>
    <xf numFmtId="0" fontId="24" fillId="10" borderId="3" xfId="0" applyFont="1" applyFill="1" applyBorder="1">
      <alignment vertical="center"/>
    </xf>
    <xf numFmtId="178" fontId="2" fillId="10" borderId="3" xfId="0" applyNumberFormat="1" applyFont="1" applyFill="1" applyBorder="1">
      <alignment vertical="center"/>
    </xf>
    <xf numFmtId="0" fontId="2" fillId="10" borderId="3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80" fontId="2" fillId="10" borderId="3" xfId="0" applyNumberFormat="1" applyFont="1" applyFill="1" applyBorder="1" applyAlignment="1">
      <alignment horizontal="center" vertical="center"/>
    </xf>
    <xf numFmtId="3" fontId="31" fillId="0" borderId="0" xfId="0" applyNumberFormat="1" applyFont="1">
      <alignment vertical="center"/>
    </xf>
    <xf numFmtId="178" fontId="32" fillId="0" borderId="0" xfId="0" applyNumberFormat="1" applyFont="1">
      <alignment vertical="center"/>
    </xf>
    <xf numFmtId="3" fontId="31" fillId="0" borderId="0" xfId="0" applyNumberFormat="1" applyFont="1" applyAlignment="1">
      <alignment vertical="center" wrapText="1"/>
    </xf>
    <xf numFmtId="3" fontId="31" fillId="0" borderId="32" xfId="0" applyNumberFormat="1" applyFont="1" applyBorder="1">
      <alignment vertical="center"/>
    </xf>
    <xf numFmtId="178" fontId="31" fillId="0" borderId="32" xfId="0" applyNumberFormat="1" applyFont="1" applyBorder="1">
      <alignment vertical="center"/>
    </xf>
    <xf numFmtId="182" fontId="31" fillId="0" borderId="32" xfId="0" applyNumberFormat="1" applyFont="1" applyBorder="1">
      <alignment vertical="center"/>
    </xf>
    <xf numFmtId="178" fontId="31" fillId="0" borderId="0" xfId="0" applyNumberFormat="1" applyFont="1">
      <alignment vertical="center"/>
    </xf>
    <xf numFmtId="182" fontId="31" fillId="0" borderId="0" xfId="0" applyNumberFormat="1" applyFont="1">
      <alignment vertical="center"/>
    </xf>
    <xf numFmtId="183" fontId="31" fillId="0" borderId="0" xfId="0" applyNumberFormat="1" applyFont="1">
      <alignment vertical="center"/>
    </xf>
    <xf numFmtId="179" fontId="31" fillId="0" borderId="0" xfId="0" applyNumberFormat="1" applyFont="1">
      <alignment vertical="center"/>
    </xf>
    <xf numFmtId="3" fontId="33" fillId="0" borderId="0" xfId="0" applyNumberFormat="1" applyFont="1">
      <alignment vertical="center"/>
    </xf>
    <xf numFmtId="0" fontId="33" fillId="0" borderId="0" xfId="0" applyFont="1">
      <alignment vertical="center"/>
    </xf>
    <xf numFmtId="179" fontId="35" fillId="17" borderId="40" xfId="0" applyNumberFormat="1" applyFont="1" applyFill="1" applyBorder="1" applyAlignment="1">
      <alignment horizontal="center" vertical="center"/>
    </xf>
    <xf numFmtId="0" fontId="35" fillId="17" borderId="40" xfId="0" applyFont="1" applyFill="1" applyBorder="1" applyAlignment="1">
      <alignment horizontal="center" vertical="center"/>
    </xf>
    <xf numFmtId="0" fontId="35" fillId="17" borderId="40" xfId="0" applyFont="1" applyFill="1" applyBorder="1" applyAlignment="1">
      <alignment horizontal="center" vertical="center" wrapText="1"/>
    </xf>
    <xf numFmtId="0" fontId="35" fillId="17" borderId="41" xfId="0" applyFont="1" applyFill="1" applyBorder="1" applyAlignment="1">
      <alignment horizontal="center" vertical="center" wrapText="1"/>
    </xf>
    <xf numFmtId="178" fontId="35" fillId="17" borderId="42" xfId="0" applyNumberFormat="1" applyFont="1" applyFill="1" applyBorder="1" applyAlignment="1">
      <alignment horizontal="center" vertical="center"/>
    </xf>
    <xf numFmtId="182" fontId="35" fillId="17" borderId="43" xfId="0" applyNumberFormat="1" applyFont="1" applyFill="1" applyBorder="1" applyAlignment="1">
      <alignment horizontal="center" vertical="center"/>
    </xf>
    <xf numFmtId="182" fontId="35" fillId="17" borderId="43" xfId="0" applyNumberFormat="1" applyFont="1" applyFill="1" applyBorder="1" applyAlignment="1">
      <alignment horizontal="center" vertical="center" wrapText="1"/>
    </xf>
    <xf numFmtId="178" fontId="35" fillId="17" borderId="43" xfId="0" applyNumberFormat="1" applyFont="1" applyFill="1" applyBorder="1" applyAlignment="1">
      <alignment horizontal="center" vertical="center"/>
    </xf>
    <xf numFmtId="178" fontId="35" fillId="17" borderId="44" xfId="0" applyNumberFormat="1" applyFont="1" applyFill="1" applyBorder="1" applyAlignment="1">
      <alignment horizontal="center" vertical="center"/>
    </xf>
    <xf numFmtId="182" fontId="35" fillId="17" borderId="45" xfId="0" applyNumberFormat="1" applyFont="1" applyFill="1" applyBorder="1" applyAlignment="1">
      <alignment horizontal="center" vertical="center"/>
    </xf>
    <xf numFmtId="178" fontId="35" fillId="17" borderId="45" xfId="0" applyNumberFormat="1" applyFont="1" applyFill="1" applyBorder="1" applyAlignment="1">
      <alignment horizontal="center" vertical="center"/>
    </xf>
    <xf numFmtId="178" fontId="35" fillId="17" borderId="46" xfId="0" applyNumberFormat="1" applyFont="1" applyFill="1" applyBorder="1" applyAlignment="1">
      <alignment horizontal="center" vertical="center"/>
    </xf>
    <xf numFmtId="178" fontId="35" fillId="17" borderId="47" xfId="0" applyNumberFormat="1" applyFont="1" applyFill="1" applyBorder="1" applyAlignment="1">
      <alignment horizontal="center" vertical="center"/>
    </xf>
    <xf numFmtId="183" fontId="35" fillId="17" borderId="43" xfId="0" applyNumberFormat="1" applyFont="1" applyFill="1" applyBorder="1" applyAlignment="1">
      <alignment horizontal="center" vertical="center" wrapText="1"/>
    </xf>
    <xf numFmtId="178" fontId="35" fillId="17" borderId="48" xfId="0" applyNumberFormat="1" applyFont="1" applyFill="1" applyBorder="1" applyAlignment="1">
      <alignment horizontal="center" vertical="center" wrapText="1"/>
    </xf>
    <xf numFmtId="178" fontId="35" fillId="17" borderId="40" xfId="0" applyNumberFormat="1" applyFont="1" applyFill="1" applyBorder="1" applyAlignment="1">
      <alignment horizontal="center" vertical="center" wrapText="1"/>
    </xf>
    <xf numFmtId="3" fontId="35" fillId="17" borderId="42" xfId="0" applyNumberFormat="1" applyFont="1" applyFill="1" applyBorder="1" applyAlignment="1">
      <alignment horizontal="center" vertical="center"/>
    </xf>
    <xf numFmtId="184" fontId="35" fillId="17" borderId="43" xfId="0" applyNumberFormat="1" applyFont="1" applyFill="1" applyBorder="1" applyAlignment="1">
      <alignment horizontal="center" vertical="center"/>
    </xf>
    <xf numFmtId="9" fontId="35" fillId="17" borderId="43" xfId="0" applyNumberFormat="1" applyFont="1" applyFill="1" applyBorder="1" applyAlignment="1">
      <alignment horizontal="center" vertical="center"/>
    </xf>
    <xf numFmtId="3" fontId="35" fillId="17" borderId="43" xfId="0" applyNumberFormat="1" applyFont="1" applyFill="1" applyBorder="1" applyAlignment="1">
      <alignment horizontal="center" vertical="center"/>
    </xf>
    <xf numFmtId="9" fontId="35" fillId="17" borderId="49" xfId="0" applyNumberFormat="1" applyFont="1" applyFill="1" applyBorder="1" applyAlignment="1">
      <alignment horizontal="center" vertical="center"/>
    </xf>
    <xf numFmtId="179" fontId="33" fillId="0" borderId="45" xfId="0" applyNumberFormat="1" applyFont="1" applyBorder="1" applyAlignment="1">
      <alignment horizontal="center" vertical="center"/>
    </xf>
    <xf numFmtId="3" fontId="35" fillId="0" borderId="45" xfId="0" applyNumberFormat="1" applyFont="1" applyBorder="1" applyAlignment="1">
      <alignment horizontal="center" vertical="center"/>
    </xf>
    <xf numFmtId="3" fontId="35" fillId="0" borderId="45" xfId="0" applyNumberFormat="1" applyFont="1" applyBorder="1" applyAlignment="1">
      <alignment horizontal="center" vertical="center" wrapText="1"/>
    </xf>
    <xf numFmtId="3" fontId="33" fillId="0" borderId="51" xfId="0" applyNumberFormat="1" applyFont="1" applyBorder="1" applyAlignment="1">
      <alignment horizontal="center" vertical="center"/>
    </xf>
    <xf numFmtId="178" fontId="33" fillId="0" borderId="44" xfId="0" applyNumberFormat="1" applyFont="1" applyBorder="1" applyAlignment="1">
      <alignment horizontal="center" vertical="center"/>
    </xf>
    <xf numFmtId="182" fontId="33" fillId="0" borderId="45" xfId="0" applyNumberFormat="1" applyFont="1" applyBorder="1" applyAlignment="1">
      <alignment horizontal="center" vertical="center"/>
    </xf>
    <xf numFmtId="182" fontId="36" fillId="0" borderId="45" xfId="0" applyNumberFormat="1" applyFont="1" applyBorder="1" applyAlignment="1">
      <alignment horizontal="center" vertical="center"/>
    </xf>
    <xf numFmtId="178" fontId="33" fillId="0" borderId="46" xfId="0" applyNumberFormat="1" applyFont="1" applyBorder="1" applyAlignment="1">
      <alignment horizontal="center" vertical="center"/>
    </xf>
    <xf numFmtId="178" fontId="33" fillId="0" borderId="50" xfId="0" applyNumberFormat="1" applyFont="1" applyBorder="1" applyAlignment="1">
      <alignment horizontal="center" vertical="center"/>
    </xf>
    <xf numFmtId="178" fontId="33" fillId="0" borderId="51" xfId="0" applyNumberFormat="1" applyFont="1" applyBorder="1" applyAlignment="1">
      <alignment horizontal="center" vertical="center"/>
    </xf>
    <xf numFmtId="178" fontId="33" fillId="0" borderId="45" xfId="0" applyNumberFormat="1" applyFont="1" applyBorder="1" applyAlignment="1">
      <alignment horizontal="center" vertical="center"/>
    </xf>
    <xf numFmtId="178" fontId="33" fillId="0" borderId="52" xfId="0" applyNumberFormat="1" applyFont="1" applyBorder="1" applyAlignment="1">
      <alignment horizontal="center" vertical="center"/>
    </xf>
    <xf numFmtId="182" fontId="37" fillId="0" borderId="45" xfId="0" applyNumberFormat="1" applyFont="1" applyBorder="1" applyAlignment="1">
      <alignment horizontal="center" vertical="center"/>
    </xf>
    <xf numFmtId="183" fontId="33" fillId="0" borderId="45" xfId="0" applyNumberFormat="1" applyFont="1" applyBorder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35" fillId="0" borderId="53" xfId="0" applyNumberFormat="1" applyFont="1" applyBorder="1" applyAlignment="1">
      <alignment horizontal="center" vertical="center"/>
    </xf>
    <xf numFmtId="178" fontId="33" fillId="0" borderId="54" xfId="0" applyNumberFormat="1" applyFont="1" applyBorder="1" applyAlignment="1">
      <alignment horizontal="center" vertical="center"/>
    </xf>
    <xf numFmtId="178" fontId="33" fillId="0" borderId="53" xfId="0" applyNumberFormat="1" applyFont="1" applyBorder="1" applyAlignment="1">
      <alignment horizontal="center" vertical="center"/>
    </xf>
    <xf numFmtId="184" fontId="33" fillId="0" borderId="55" xfId="0" applyNumberFormat="1" applyFont="1" applyBorder="1" applyAlignment="1">
      <alignment horizontal="center" vertical="center"/>
    </xf>
    <xf numFmtId="9" fontId="33" fillId="0" borderId="56" xfId="0" applyNumberFormat="1" applyFont="1" applyBorder="1" applyAlignment="1">
      <alignment horizontal="center" vertical="center"/>
    </xf>
    <xf numFmtId="3" fontId="33" fillId="0" borderId="44" xfId="0" applyNumberFormat="1" applyFont="1" applyBorder="1" applyAlignment="1">
      <alignment horizontal="center" vertical="center"/>
    </xf>
    <xf numFmtId="9" fontId="33" fillId="0" borderId="57" xfId="0" applyNumberFormat="1" applyFont="1" applyBorder="1" applyAlignment="1">
      <alignment horizontal="center" vertical="center"/>
    </xf>
    <xf numFmtId="179" fontId="33" fillId="0" borderId="52" xfId="0" applyNumberFormat="1" applyFont="1" applyBorder="1" applyAlignment="1">
      <alignment horizontal="center" vertical="center"/>
    </xf>
    <xf numFmtId="3" fontId="35" fillId="0" borderId="52" xfId="0" applyNumberFormat="1" applyFont="1" applyBorder="1" applyAlignment="1">
      <alignment horizontal="center" vertical="center"/>
    </xf>
    <xf numFmtId="3" fontId="35" fillId="0" borderId="52" xfId="0" applyNumberFormat="1" applyFont="1" applyBorder="1" applyAlignment="1">
      <alignment horizontal="center" vertical="center" wrapText="1"/>
    </xf>
    <xf numFmtId="3" fontId="33" fillId="0" borderId="58" xfId="0" applyNumberFormat="1" applyFont="1" applyBorder="1" applyAlignment="1">
      <alignment horizontal="center" vertical="center"/>
    </xf>
    <xf numFmtId="178" fontId="33" fillId="0" borderId="59" xfId="0" applyNumberFormat="1" applyFont="1" applyBorder="1" applyAlignment="1">
      <alignment horizontal="center" vertical="center"/>
    </xf>
    <xf numFmtId="182" fontId="33" fillId="0" borderId="52" xfId="0" applyNumberFormat="1" applyFont="1" applyBorder="1" applyAlignment="1">
      <alignment horizontal="center" vertical="center"/>
    </xf>
    <xf numFmtId="182" fontId="36" fillId="0" borderId="52" xfId="0" applyNumberFormat="1" applyFont="1" applyBorder="1" applyAlignment="1">
      <alignment horizontal="center" vertical="center"/>
    </xf>
    <xf numFmtId="178" fontId="33" fillId="0" borderId="60" xfId="0" applyNumberFormat="1" applyFont="1" applyBorder="1" applyAlignment="1">
      <alignment horizontal="center" vertical="center"/>
    </xf>
    <xf numFmtId="178" fontId="33" fillId="0" borderId="61" xfId="0" applyNumberFormat="1" applyFont="1" applyBorder="1" applyAlignment="1">
      <alignment horizontal="center" vertical="center"/>
    </xf>
    <xf numFmtId="178" fontId="33" fillId="0" borderId="58" xfId="0" applyNumberFormat="1" applyFont="1" applyBorder="1" applyAlignment="1">
      <alignment horizontal="center" vertical="center"/>
    </xf>
    <xf numFmtId="182" fontId="37" fillId="0" borderId="52" xfId="0" applyNumberFormat="1" applyFont="1" applyBorder="1" applyAlignment="1">
      <alignment horizontal="center" vertical="center"/>
    </xf>
    <xf numFmtId="183" fontId="33" fillId="0" borderId="52" xfId="0" applyNumberFormat="1" applyFont="1" applyBorder="1" applyAlignment="1">
      <alignment horizontal="center" vertical="center"/>
    </xf>
    <xf numFmtId="178" fontId="35" fillId="0" borderId="45" xfId="0" applyNumberFormat="1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3" fontId="35" fillId="0" borderId="53" xfId="0" applyNumberFormat="1" applyFont="1" applyBorder="1" applyAlignment="1">
      <alignment horizontal="center" vertical="center" wrapText="1"/>
    </xf>
    <xf numFmtId="178" fontId="33" fillId="0" borderId="62" xfId="0" applyNumberFormat="1" applyFont="1" applyBorder="1" applyAlignment="1">
      <alignment horizontal="center" vertical="center"/>
    </xf>
    <xf numFmtId="184" fontId="33" fillId="0" borderId="63" xfId="0" applyNumberFormat="1" applyFont="1" applyBorder="1" applyAlignment="1">
      <alignment horizontal="center" vertical="center"/>
    </xf>
    <xf numFmtId="9" fontId="33" fillId="0" borderId="64" xfId="0" applyNumberFormat="1" applyFont="1" applyBorder="1" applyAlignment="1">
      <alignment horizontal="center" vertical="center"/>
    </xf>
    <xf numFmtId="3" fontId="33" fillId="0" borderId="65" xfId="0" applyNumberFormat="1" applyFont="1" applyBorder="1" applyAlignment="1">
      <alignment horizontal="center" vertical="center"/>
    </xf>
    <xf numFmtId="9" fontId="33" fillId="0" borderId="66" xfId="0" applyNumberFormat="1" applyFont="1" applyBorder="1" applyAlignment="1">
      <alignment horizontal="center" vertical="center"/>
    </xf>
    <xf numFmtId="178" fontId="33" fillId="0" borderId="67" xfId="0" applyNumberFormat="1" applyFont="1" applyBorder="1" applyAlignment="1">
      <alignment horizontal="center" vertical="center"/>
    </xf>
    <xf numFmtId="184" fontId="33" fillId="0" borderId="68" xfId="0" applyNumberFormat="1" applyFont="1" applyBorder="1" applyAlignment="1">
      <alignment horizontal="center" vertical="center"/>
    </xf>
    <xf numFmtId="9" fontId="33" fillId="0" borderId="69" xfId="0" applyNumberFormat="1" applyFont="1" applyBorder="1" applyAlignment="1">
      <alignment horizontal="center" vertical="center"/>
    </xf>
    <xf numFmtId="3" fontId="33" fillId="0" borderId="70" xfId="0" applyNumberFormat="1" applyFont="1" applyBorder="1" applyAlignment="1">
      <alignment horizontal="center" vertical="center"/>
    </xf>
    <xf numFmtId="9" fontId="33" fillId="0" borderId="71" xfId="0" applyNumberFormat="1" applyFont="1" applyBorder="1" applyAlignment="1">
      <alignment horizontal="center" vertical="center"/>
    </xf>
    <xf numFmtId="184" fontId="33" fillId="0" borderId="72" xfId="0" applyNumberFormat="1" applyFont="1" applyBorder="1" applyAlignment="1">
      <alignment horizontal="center" vertical="center"/>
    </xf>
    <xf numFmtId="9" fontId="33" fillId="0" borderId="73" xfId="0" applyNumberFormat="1" applyFont="1" applyBorder="1" applyAlignment="1">
      <alignment horizontal="center" vertical="center"/>
    </xf>
    <xf numFmtId="9" fontId="33" fillId="0" borderId="74" xfId="0" applyNumberFormat="1" applyFont="1" applyBorder="1" applyAlignment="1">
      <alignment horizontal="center" vertical="center"/>
    </xf>
    <xf numFmtId="0" fontId="35" fillId="17" borderId="37" xfId="0" applyFont="1" applyFill="1" applyBorder="1" applyAlignment="1">
      <alignment horizontal="center" vertical="center"/>
    </xf>
    <xf numFmtId="3" fontId="35" fillId="17" borderId="48" xfId="0" applyNumberFormat="1" applyFont="1" applyFill="1" applyBorder="1" applyAlignment="1">
      <alignment horizontal="center" vertical="center" wrapText="1"/>
    </xf>
    <xf numFmtId="179" fontId="35" fillId="17" borderId="40" xfId="0" applyNumberFormat="1" applyFont="1" applyFill="1" applyBorder="1" applyAlignment="1">
      <alignment horizontal="center" vertical="center" wrapText="1"/>
    </xf>
    <xf numFmtId="0" fontId="35" fillId="17" borderId="43" xfId="0" applyFont="1" applyFill="1" applyBorder="1" applyAlignment="1">
      <alignment horizontal="center" vertical="center"/>
    </xf>
    <xf numFmtId="0" fontId="35" fillId="17" borderId="75" xfId="0" applyFont="1" applyFill="1" applyBorder="1" applyAlignment="1">
      <alignment horizontal="center" vertical="center"/>
    </xf>
    <xf numFmtId="3" fontId="33" fillId="0" borderId="76" xfId="0" applyNumberFormat="1" applyFont="1" applyBorder="1" applyAlignment="1">
      <alignment horizontal="center" vertical="center"/>
    </xf>
    <xf numFmtId="179" fontId="33" fillId="0" borderId="55" xfId="0" applyNumberFormat="1" applyFont="1" applyBorder="1" applyAlignment="1">
      <alignment horizontal="center" vertical="center"/>
    </xf>
    <xf numFmtId="3" fontId="35" fillId="0" borderId="55" xfId="0" applyNumberFormat="1" applyFont="1" applyBorder="1" applyAlignment="1">
      <alignment horizontal="center" vertical="center"/>
    </xf>
    <xf numFmtId="3" fontId="33" fillId="0" borderId="77" xfId="0" applyNumberFormat="1" applyFont="1" applyBorder="1" applyAlignment="1">
      <alignment horizontal="center" vertical="center"/>
    </xf>
    <xf numFmtId="3" fontId="33" fillId="0" borderId="78" xfId="0" applyNumberFormat="1" applyFont="1" applyBorder="1" applyAlignment="1">
      <alignment horizontal="center" vertical="center"/>
    </xf>
    <xf numFmtId="178" fontId="33" fillId="0" borderId="79" xfId="0" applyNumberFormat="1" applyFont="1" applyBorder="1" applyAlignment="1">
      <alignment horizontal="center" vertical="center"/>
    </xf>
    <xf numFmtId="3" fontId="33" fillId="0" borderId="60" xfId="0" applyNumberFormat="1" applyFont="1" applyBorder="1" applyAlignment="1">
      <alignment horizontal="center" vertical="center"/>
    </xf>
    <xf numFmtId="3" fontId="33" fillId="0" borderId="59" xfId="0" applyNumberFormat="1" applyFont="1" applyBorder="1" applyAlignment="1">
      <alignment horizontal="center" vertical="center"/>
    </xf>
    <xf numFmtId="3" fontId="33" fillId="0" borderId="81" xfId="0" applyNumberFormat="1" applyFont="1" applyBorder="1" applyAlignment="1">
      <alignment horizontal="center" vertical="center"/>
    </xf>
    <xf numFmtId="178" fontId="33" fillId="0" borderId="82" xfId="0" applyNumberFormat="1" applyFont="1" applyBorder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3" fontId="33" fillId="0" borderId="62" xfId="0" applyNumberFormat="1" applyFont="1" applyBorder="1" applyAlignment="1">
      <alignment horizontal="center" vertical="center"/>
    </xf>
    <xf numFmtId="179" fontId="33" fillId="0" borderId="63" xfId="0" applyNumberFormat="1" applyFont="1" applyBorder="1" applyAlignment="1">
      <alignment horizontal="center" vertical="center"/>
    </xf>
    <xf numFmtId="3" fontId="35" fillId="0" borderId="63" xfId="0" applyNumberFormat="1" applyFont="1" applyBorder="1" applyAlignment="1">
      <alignment horizontal="center" vertical="center"/>
    </xf>
    <xf numFmtId="3" fontId="33" fillId="0" borderId="83" xfId="0" applyNumberFormat="1" applyFont="1" applyBorder="1" applyAlignment="1">
      <alignment horizontal="center" vertical="center"/>
    </xf>
    <xf numFmtId="182" fontId="33" fillId="0" borderId="63" xfId="0" applyNumberFormat="1" applyFont="1" applyBorder="1" applyAlignment="1">
      <alignment horizontal="center" vertical="center"/>
    </xf>
    <xf numFmtId="178" fontId="33" fillId="0" borderId="64" xfId="0" applyNumberFormat="1" applyFont="1" applyBorder="1" applyAlignment="1">
      <alignment horizontal="center" vertical="center"/>
    </xf>
    <xf numFmtId="178" fontId="33" fillId="0" borderId="84" xfId="0" applyNumberFormat="1" applyFont="1" applyBorder="1" applyAlignment="1">
      <alignment horizontal="center" vertical="center"/>
    </xf>
    <xf numFmtId="178" fontId="33" fillId="0" borderId="83" xfId="0" applyNumberFormat="1" applyFont="1" applyBorder="1" applyAlignment="1">
      <alignment horizontal="center" vertical="center"/>
    </xf>
    <xf numFmtId="178" fontId="33" fillId="0" borderId="85" xfId="0" applyNumberFormat="1" applyFont="1" applyBorder="1" applyAlignment="1">
      <alignment horizontal="center" vertical="center"/>
    </xf>
    <xf numFmtId="3" fontId="33" fillId="17" borderId="0" xfId="0" applyNumberFormat="1" applyFont="1" applyFill="1">
      <alignment vertical="center"/>
    </xf>
    <xf numFmtId="182" fontId="35" fillId="17" borderId="40" xfId="0" applyNumberFormat="1" applyFont="1" applyFill="1" applyBorder="1" applyAlignment="1">
      <alignment horizontal="center" vertical="center" wrapText="1"/>
    </xf>
    <xf numFmtId="182" fontId="35" fillId="17" borderId="40" xfId="0" applyNumberFormat="1" applyFont="1" applyFill="1" applyBorder="1" applyAlignment="1">
      <alignment horizontal="center" vertical="center"/>
    </xf>
    <xf numFmtId="0" fontId="35" fillId="17" borderId="39" xfId="0" applyFont="1" applyFill="1" applyBorder="1" applyAlignment="1">
      <alignment horizontal="center" vertical="center" wrapText="1"/>
    </xf>
    <xf numFmtId="0" fontId="35" fillId="17" borderId="37" xfId="0" applyFont="1" applyFill="1" applyBorder="1" applyAlignment="1">
      <alignment horizontal="center" vertical="center" wrapText="1"/>
    </xf>
    <xf numFmtId="3" fontId="33" fillId="0" borderId="95" xfId="0" applyNumberFormat="1" applyFont="1" applyBorder="1" applyAlignment="1">
      <alignment horizontal="center" vertical="center"/>
    </xf>
    <xf numFmtId="178" fontId="33" fillId="0" borderId="55" xfId="0" applyNumberFormat="1" applyFont="1" applyBorder="1" applyAlignment="1">
      <alignment horizontal="center" vertical="center"/>
    </xf>
    <xf numFmtId="182" fontId="33" fillId="0" borderId="55" xfId="0" applyNumberFormat="1" applyFont="1" applyBorder="1" applyAlignment="1">
      <alignment horizontal="center" vertical="center"/>
    </xf>
    <xf numFmtId="178" fontId="33" fillId="0" borderId="57" xfId="0" applyNumberFormat="1" applyFont="1" applyBorder="1" applyAlignment="1">
      <alignment horizontal="center" vertical="center"/>
    </xf>
    <xf numFmtId="178" fontId="33" fillId="0" borderId="63" xfId="0" applyNumberFormat="1" applyFont="1" applyBorder="1" applyAlignment="1">
      <alignment horizontal="center" vertical="center"/>
    </xf>
    <xf numFmtId="178" fontId="33" fillId="0" borderId="99" xfId="0" applyNumberFormat="1" applyFont="1" applyBorder="1" applyAlignment="1">
      <alignment horizontal="center" vertical="center"/>
    </xf>
    <xf numFmtId="178" fontId="33" fillId="0" borderId="66" xfId="0" applyNumberFormat="1" applyFont="1" applyBorder="1" applyAlignment="1">
      <alignment horizontal="center" vertical="center"/>
    </xf>
    <xf numFmtId="179" fontId="33" fillId="0" borderId="0" xfId="0" applyNumberFormat="1" applyFont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178" fontId="33" fillId="0" borderId="0" xfId="0" applyNumberFormat="1" applyFont="1" applyAlignment="1">
      <alignment horizontal="center" vertical="center"/>
    </xf>
    <xf numFmtId="182" fontId="33" fillId="0" borderId="0" xfId="0" applyNumberFormat="1" applyFont="1" applyAlignment="1">
      <alignment horizontal="center" vertical="center"/>
    </xf>
    <xf numFmtId="0" fontId="40" fillId="0" borderId="0" xfId="0" applyFont="1">
      <alignment vertical="center"/>
    </xf>
    <xf numFmtId="179" fontId="42" fillId="17" borderId="100" xfId="0" applyNumberFormat="1" applyFont="1" applyFill="1" applyBorder="1" applyAlignment="1">
      <alignment horizontal="center" vertical="center"/>
    </xf>
    <xf numFmtId="0" fontId="42" fillId="17" borderId="101" xfId="0" applyFont="1" applyFill="1" applyBorder="1" applyAlignment="1">
      <alignment horizontal="center" vertical="center"/>
    </xf>
    <xf numFmtId="179" fontId="42" fillId="17" borderId="101" xfId="0" applyNumberFormat="1" applyFont="1" applyFill="1" applyBorder="1" applyAlignment="1">
      <alignment horizontal="center" vertical="center"/>
    </xf>
    <xf numFmtId="0" fontId="43" fillId="17" borderId="102" xfId="0" applyFont="1" applyFill="1" applyBorder="1" applyAlignment="1">
      <alignment horizontal="center" vertical="center"/>
    </xf>
    <xf numFmtId="179" fontId="42" fillId="17" borderId="31" xfId="0" applyNumberFormat="1" applyFont="1" applyFill="1" applyBorder="1" applyAlignment="1">
      <alignment horizontal="center" vertical="center"/>
    </xf>
    <xf numFmtId="0" fontId="42" fillId="17" borderId="31" xfId="0" applyFont="1" applyFill="1" applyBorder="1" applyAlignment="1">
      <alignment horizontal="center" vertical="center"/>
    </xf>
    <xf numFmtId="179" fontId="0" fillId="0" borderId="30" xfId="0" applyNumberFormat="1" applyBorder="1" applyAlignment="1">
      <alignment horizontal="center" vertical="center"/>
    </xf>
    <xf numFmtId="0" fontId="42" fillId="0" borderId="31" xfId="0" applyFont="1" applyBorder="1">
      <alignment vertical="center"/>
    </xf>
    <xf numFmtId="0" fontId="42" fillId="0" borderId="31" xfId="0" applyFont="1" applyBorder="1" applyAlignment="1">
      <alignment vertical="center" shrinkToFit="1"/>
    </xf>
    <xf numFmtId="178" fontId="0" fillId="0" borderId="31" xfId="0" applyNumberFormat="1" applyBorder="1">
      <alignment vertical="center"/>
    </xf>
    <xf numFmtId="179" fontId="0" fillId="0" borderId="31" xfId="0" applyNumberFormat="1" applyBorder="1" applyAlignment="1">
      <alignment horizontal="center" vertical="center"/>
    </xf>
    <xf numFmtId="178" fontId="44" fillId="0" borderId="103" xfId="0" applyNumberFormat="1" applyFont="1" applyBorder="1">
      <alignment vertical="center"/>
    </xf>
    <xf numFmtId="0" fontId="42" fillId="0" borderId="31" xfId="0" applyFont="1" applyBorder="1" applyAlignment="1">
      <alignment vertical="center" wrapText="1"/>
    </xf>
    <xf numFmtId="179" fontId="0" fillId="0" borderId="18" xfId="0" applyNumberFormat="1" applyBorder="1" applyAlignment="1">
      <alignment horizontal="center" vertical="center"/>
    </xf>
    <xf numFmtId="179" fontId="0" fillId="14" borderId="31" xfId="0" applyNumberFormat="1" applyFill="1" applyBorder="1" applyAlignment="1">
      <alignment horizontal="center" vertical="center"/>
    </xf>
    <xf numFmtId="178" fontId="0" fillId="14" borderId="31" xfId="0" applyNumberFormat="1" applyFill="1" applyBorder="1">
      <alignment vertical="center"/>
    </xf>
    <xf numFmtId="0" fontId="0" fillId="0" borderId="31" xfId="0" applyBorder="1">
      <alignment vertical="center"/>
    </xf>
    <xf numFmtId="0" fontId="42" fillId="0" borderId="27" xfId="0" applyFont="1" applyBorder="1">
      <alignment vertical="center"/>
    </xf>
    <xf numFmtId="0" fontId="42" fillId="0" borderId="27" xfId="0" applyFont="1" applyBorder="1" applyAlignment="1">
      <alignment vertical="center" shrinkToFit="1"/>
    </xf>
    <xf numFmtId="178" fontId="0" fillId="0" borderId="27" xfId="0" applyNumberFormat="1" applyBorder="1">
      <alignment vertical="center"/>
    </xf>
    <xf numFmtId="179" fontId="0" fillId="0" borderId="27" xfId="0" applyNumberFormat="1" applyBorder="1" applyAlignment="1">
      <alignment horizontal="center" vertical="center"/>
    </xf>
    <xf numFmtId="178" fontId="44" fillId="0" borderId="16" xfId="0" applyNumberFormat="1" applyFont="1" applyBorder="1">
      <alignment vertical="center"/>
    </xf>
    <xf numFmtId="14" fontId="20" fillId="13" borderId="17" xfId="0" applyNumberFormat="1" applyFont="1" applyFill="1" applyBorder="1" applyAlignment="1">
      <alignment horizontal="center" vertical="center" wrapText="1"/>
    </xf>
    <xf numFmtId="14" fontId="3" fillId="10" borderId="21" xfId="0" applyNumberFormat="1" applyFont="1" applyFill="1" applyBorder="1">
      <alignment vertical="center"/>
    </xf>
    <xf numFmtId="14" fontId="28" fillId="10" borderId="21" xfId="0" applyNumberFormat="1" applyFont="1" applyFill="1" applyBorder="1">
      <alignment vertical="center"/>
    </xf>
    <xf numFmtId="14" fontId="2" fillId="10" borderId="21" xfId="0" applyNumberFormat="1" applyFont="1" applyFill="1" applyBorder="1">
      <alignment vertical="center"/>
    </xf>
    <xf numFmtId="14" fontId="24" fillId="10" borderId="26" xfId="0" applyNumberFormat="1" applyFont="1" applyFill="1" applyBorder="1">
      <alignment vertical="center"/>
    </xf>
    <xf numFmtId="14" fontId="19" fillId="0" borderId="0" xfId="0" applyNumberFormat="1" applyFont="1" applyAlignment="1"/>
    <xf numFmtId="0" fontId="35" fillId="17" borderId="36" xfId="0" applyFont="1" applyFill="1" applyBorder="1" applyAlignment="1">
      <alignment horizontal="center" vertical="center"/>
    </xf>
    <xf numFmtId="0" fontId="35" fillId="17" borderId="0" xfId="0" applyFont="1" applyFill="1" applyAlignment="1">
      <alignment horizontal="center" vertical="center" wrapText="1"/>
    </xf>
    <xf numFmtId="183" fontId="33" fillId="17" borderId="104" xfId="0" applyNumberFormat="1" applyFont="1" applyFill="1" applyBorder="1" applyAlignment="1">
      <alignment horizontal="center" vertical="center" wrapText="1"/>
    </xf>
    <xf numFmtId="41" fontId="33" fillId="0" borderId="45" xfId="8" applyFont="1" applyBorder="1" applyAlignment="1">
      <alignment horizontal="center" vertical="center"/>
    </xf>
    <xf numFmtId="41" fontId="33" fillId="0" borderId="52" xfId="8" applyFont="1" applyBorder="1" applyAlignment="1">
      <alignment horizontal="center" vertical="center"/>
    </xf>
    <xf numFmtId="0" fontId="33" fillId="17" borderId="69" xfId="0" applyFont="1" applyFill="1" applyBorder="1" applyAlignment="1">
      <alignment horizontal="center" vertical="center"/>
    </xf>
    <xf numFmtId="178" fontId="33" fillId="17" borderId="32" xfId="0" applyNumberFormat="1" applyFont="1" applyFill="1" applyBorder="1">
      <alignment vertical="center"/>
    </xf>
    <xf numFmtId="178" fontId="33" fillId="17" borderId="105" xfId="0" applyNumberFormat="1" applyFont="1" applyFill="1" applyBorder="1">
      <alignment vertical="center"/>
    </xf>
    <xf numFmtId="178" fontId="35" fillId="17" borderId="37" xfId="0" applyNumberFormat="1" applyFont="1" applyFill="1" applyBorder="1" applyAlignment="1">
      <alignment horizontal="center" vertical="center" wrapText="1"/>
    </xf>
    <xf numFmtId="3" fontId="33" fillId="0" borderId="53" xfId="0" applyNumberFormat="1" applyFont="1" applyBorder="1" applyAlignment="1">
      <alignment horizontal="center" vertical="center"/>
    </xf>
    <xf numFmtId="178" fontId="33" fillId="0" borderId="106" xfId="0" applyNumberFormat="1" applyFont="1" applyBorder="1" applyAlignment="1">
      <alignment horizontal="center" vertical="center"/>
    </xf>
    <xf numFmtId="0" fontId="33" fillId="0" borderId="107" xfId="0" applyFont="1" applyBorder="1">
      <alignment vertical="center"/>
    </xf>
    <xf numFmtId="41" fontId="33" fillId="0" borderId="0" xfId="8" applyFont="1" applyBorder="1">
      <alignment vertical="center"/>
    </xf>
    <xf numFmtId="0" fontId="33" fillId="0" borderId="108" xfId="0" applyFont="1" applyBorder="1">
      <alignment vertical="center"/>
    </xf>
    <xf numFmtId="3" fontId="35" fillId="0" borderId="63" xfId="0" applyNumberFormat="1" applyFont="1" applyBorder="1" applyAlignment="1">
      <alignment horizontal="center" vertical="center" wrapText="1"/>
    </xf>
    <xf numFmtId="178" fontId="33" fillId="0" borderId="65" xfId="0" applyNumberFormat="1" applyFont="1" applyBorder="1" applyAlignment="1">
      <alignment horizontal="center" vertical="center"/>
    </xf>
    <xf numFmtId="183" fontId="33" fillId="0" borderId="63" xfId="0" applyNumberFormat="1" applyFont="1" applyBorder="1" applyAlignment="1">
      <alignment horizontal="center" vertical="center"/>
    </xf>
    <xf numFmtId="41" fontId="33" fillId="0" borderId="63" xfId="8" applyFont="1" applyBorder="1" applyAlignment="1">
      <alignment horizontal="center" vertical="center"/>
    </xf>
    <xf numFmtId="178" fontId="33" fillId="0" borderId="86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3" fontId="9" fillId="6" borderId="9" xfId="0" applyNumberFormat="1" applyFont="1" applyFill="1" applyBorder="1" applyAlignment="1">
      <alignment horizontal="center" vertical="center"/>
    </xf>
    <xf numFmtId="3" fontId="9" fillId="7" borderId="9" xfId="0" applyNumberFormat="1" applyFont="1" applyFill="1" applyBorder="1" applyAlignment="1">
      <alignment horizontal="center" vertical="center"/>
    </xf>
    <xf numFmtId="3" fontId="33" fillId="17" borderId="33" xfId="0" applyNumberFormat="1" applyFont="1" applyFill="1" applyBorder="1" applyAlignment="1">
      <alignment horizontal="center" vertical="center"/>
    </xf>
    <xf numFmtId="0" fontId="35" fillId="17" borderId="34" xfId="0" applyFont="1" applyFill="1" applyBorder="1" applyAlignment="1">
      <alignment horizontal="center" vertical="center"/>
    </xf>
    <xf numFmtId="0" fontId="33" fillId="17" borderId="35" xfId="0" applyFont="1" applyFill="1" applyBorder="1" applyAlignment="1">
      <alignment horizontal="center" vertical="center"/>
    </xf>
    <xf numFmtId="0" fontId="33" fillId="17" borderId="70" xfId="0" applyFont="1" applyFill="1" applyBorder="1" applyAlignment="1">
      <alignment horizontal="center" vertical="center"/>
    </xf>
    <xf numFmtId="0" fontId="35" fillId="17" borderId="36" xfId="0" applyFont="1" applyFill="1" applyBorder="1" applyAlignment="1">
      <alignment horizontal="center" vertical="center"/>
    </xf>
    <xf numFmtId="3" fontId="35" fillId="17" borderId="34" xfId="0" applyNumberFormat="1" applyFont="1" applyFill="1" applyBorder="1" applyAlignment="1">
      <alignment horizontal="center" vertical="center"/>
    </xf>
    <xf numFmtId="178" fontId="35" fillId="17" borderId="35" xfId="0" applyNumberFormat="1" applyFont="1" applyFill="1" applyBorder="1" applyAlignment="1">
      <alignment horizontal="center" vertical="center"/>
    </xf>
    <xf numFmtId="178" fontId="35" fillId="17" borderId="37" xfId="0" applyNumberFormat="1" applyFont="1" applyFill="1" applyBorder="1" applyAlignment="1">
      <alignment horizontal="center" vertical="center"/>
    </xf>
    <xf numFmtId="3" fontId="35" fillId="17" borderId="38" xfId="0" applyNumberFormat="1" applyFont="1" applyFill="1" applyBorder="1" applyAlignment="1">
      <alignment horizontal="center" vertical="center"/>
    </xf>
    <xf numFmtId="0" fontId="35" fillId="17" borderId="35" xfId="0" applyFont="1" applyFill="1" applyBorder="1" applyAlignment="1">
      <alignment horizontal="center" vertical="center"/>
    </xf>
    <xf numFmtId="0" fontId="35" fillId="17" borderId="37" xfId="0" applyFont="1" applyFill="1" applyBorder="1" applyAlignment="1">
      <alignment horizontal="center" vertical="center"/>
    </xf>
    <xf numFmtId="3" fontId="33" fillId="0" borderId="80" xfId="0" applyNumberFormat="1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3" fontId="35" fillId="0" borderId="54" xfId="0" applyNumberFormat="1" applyFont="1" applyBorder="1" applyAlignment="1">
      <alignment horizontal="center" vertical="center"/>
    </xf>
    <xf numFmtId="3" fontId="33" fillId="0" borderId="86" xfId="0" applyNumberFormat="1" applyFont="1" applyBorder="1" applyAlignment="1">
      <alignment horizontal="center" vertical="center"/>
    </xf>
    <xf numFmtId="3" fontId="38" fillId="17" borderId="87" xfId="0" applyNumberFormat="1" applyFont="1" applyFill="1" applyBorder="1" applyAlignment="1">
      <alignment horizontal="center" vertical="center"/>
    </xf>
    <xf numFmtId="0" fontId="35" fillId="17" borderId="88" xfId="0" applyFont="1" applyFill="1" applyBorder="1" applyAlignment="1">
      <alignment horizontal="center" vertical="center"/>
    </xf>
    <xf numFmtId="0" fontId="35" fillId="17" borderId="89" xfId="0" applyFont="1" applyFill="1" applyBorder="1" applyAlignment="1">
      <alignment horizontal="center" vertical="center"/>
    </xf>
    <xf numFmtId="0" fontId="35" fillId="17" borderId="90" xfId="0" applyFont="1" applyFill="1" applyBorder="1" applyAlignment="1">
      <alignment horizontal="center" vertical="center"/>
    </xf>
    <xf numFmtId="0" fontId="35" fillId="17" borderId="48" xfId="0" applyFont="1" applyFill="1" applyBorder="1" applyAlignment="1">
      <alignment horizontal="center" vertical="center"/>
    </xf>
    <xf numFmtId="182" fontId="35" fillId="17" borderId="40" xfId="0" applyNumberFormat="1" applyFont="1" applyFill="1" applyBorder="1" applyAlignment="1">
      <alignment horizontal="center" vertical="center" wrapText="1"/>
    </xf>
    <xf numFmtId="0" fontId="35" fillId="17" borderId="40" xfId="0" applyFont="1" applyFill="1" applyBorder="1" applyAlignment="1">
      <alignment horizontal="center" vertical="center"/>
    </xf>
    <xf numFmtId="178" fontId="33" fillId="0" borderId="92" xfId="0" applyNumberFormat="1" applyFont="1" applyBorder="1" applyAlignment="1">
      <alignment horizontal="center" vertical="center"/>
    </xf>
    <xf numFmtId="3" fontId="33" fillId="0" borderId="91" xfId="0" applyNumberFormat="1" applyFont="1" applyBorder="1" applyAlignment="1">
      <alignment horizontal="center" vertical="center"/>
    </xf>
    <xf numFmtId="179" fontId="35" fillId="0" borderId="92" xfId="0" applyNumberFormat="1" applyFont="1" applyBorder="1" applyAlignment="1">
      <alignment horizontal="center" vertical="center"/>
    </xf>
    <xf numFmtId="3" fontId="35" fillId="0" borderId="92" xfId="0" applyNumberFormat="1" applyFont="1" applyBorder="1" applyAlignment="1">
      <alignment horizontal="center" vertical="center"/>
    </xf>
    <xf numFmtId="3" fontId="35" fillId="0" borderId="93" xfId="0" applyNumberFormat="1" applyFont="1" applyBorder="1" applyAlignment="1">
      <alignment horizontal="center" vertical="center"/>
    </xf>
    <xf numFmtId="3" fontId="33" fillId="0" borderId="94" xfId="0" applyNumberFormat="1" applyFont="1" applyBorder="1" applyAlignment="1">
      <alignment horizontal="center" vertical="center"/>
    </xf>
    <xf numFmtId="182" fontId="33" fillId="0" borderId="63" xfId="0" applyNumberFormat="1" applyFont="1" applyBorder="1" applyAlignment="1">
      <alignment horizontal="center" vertical="center"/>
    </xf>
    <xf numFmtId="178" fontId="33" fillId="0" borderId="93" xfId="0" applyNumberFormat="1" applyFont="1" applyBorder="1" applyAlignment="1">
      <alignment horizontal="center" vertical="center"/>
    </xf>
    <xf numFmtId="3" fontId="33" fillId="0" borderId="98" xfId="0" applyNumberFormat="1" applyFont="1" applyBorder="1" applyAlignment="1">
      <alignment horizontal="center" vertical="center"/>
    </xf>
    <xf numFmtId="3" fontId="33" fillId="0" borderId="64" xfId="0" applyNumberFormat="1" applyFont="1" applyBorder="1" applyAlignment="1">
      <alignment horizontal="center" vertical="center"/>
    </xf>
    <xf numFmtId="9" fontId="33" fillId="0" borderId="65" xfId="0" applyNumberFormat="1" applyFont="1" applyBorder="1" applyAlignment="1">
      <alignment horizontal="center" vertical="center"/>
    </xf>
    <xf numFmtId="178" fontId="33" fillId="0" borderId="63" xfId="0" applyNumberFormat="1" applyFont="1" applyBorder="1" applyAlignment="1">
      <alignment horizontal="center" vertical="center"/>
    </xf>
    <xf numFmtId="9" fontId="33" fillId="0" borderId="96" xfId="0" applyNumberFormat="1" applyFont="1" applyBorder="1" applyAlignment="1">
      <alignment horizontal="center" vertical="center"/>
    </xf>
    <xf numFmtId="178" fontId="33" fillId="0" borderId="97" xfId="0" applyNumberFormat="1" applyFont="1" applyBorder="1" applyAlignment="1">
      <alignment horizontal="center" vertical="center"/>
    </xf>
    <xf numFmtId="3" fontId="33" fillId="0" borderId="93" xfId="0" applyNumberFormat="1" applyFont="1" applyBorder="1" applyAlignment="1">
      <alignment horizontal="center" vertical="center"/>
    </xf>
    <xf numFmtId="178" fontId="33" fillId="0" borderId="98" xfId="0" applyNumberFormat="1" applyFont="1" applyBorder="1" applyAlignment="1">
      <alignment horizontal="center" vertical="center"/>
    </xf>
    <xf numFmtId="0" fontId="49" fillId="0" borderId="29" xfId="0" applyFont="1" applyBorder="1">
      <alignment vertical="center"/>
    </xf>
  </cellXfs>
  <cellStyles count="9">
    <cellStyle name="Excel Built-in Comma [0]" xfId="7" xr:uid="{00000000-0005-0000-0000-00000C000000}"/>
    <cellStyle name="백분율 2" xfId="1" xr:uid="{00000000-0005-0000-0000-000006000000}"/>
    <cellStyle name="쉼표 [0]" xfId="8" builtinId="6"/>
    <cellStyle name="쉼표 [0] 118 2 7 16" xfId="2" xr:uid="{00000000-0005-0000-0000-000007000000}"/>
    <cellStyle name="쉼표 [0] 2" xfId="3" xr:uid="{00000000-0005-0000-0000-000008000000}"/>
    <cellStyle name="표준" xfId="0" builtinId="0"/>
    <cellStyle name="표준 118 2 7 16" xfId="4" xr:uid="{00000000-0005-0000-0000-000009000000}"/>
    <cellStyle name="표준 125" xfId="5" xr:uid="{00000000-0005-0000-0000-00000A000000}"/>
    <cellStyle name="표준 2" xfId="6" xr:uid="{00000000-0005-0000-0000-00000B000000}"/>
  </cellStyles>
  <dxfs count="27"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theme="8" tint="0.79979857783745845"/>
        </patternFill>
      </fill>
    </dxf>
    <dxf>
      <fill>
        <patternFill>
          <bgColor rgb="FF000000"/>
        </patternFill>
      </fill>
    </dxf>
    <dxf>
      <fill>
        <patternFill>
          <bgColor theme="5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ont>
        <color rgb="FFA6A6A6"/>
      </font>
    </dxf>
    <dxf>
      <fill>
        <patternFill>
          <bgColor rgb="FFE6F3FF"/>
        </patternFill>
      </fill>
      <border diagonalUp="0" diagonalDown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2F1C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5F5F5"/>
      <rgbColor rgb="FFE6F3FF"/>
      <rgbColor rgb="FF660066"/>
      <rgbColor rgb="FFFF8080"/>
      <rgbColor rgb="FF215E99"/>
      <rgbColor rgb="FFD6DB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2F2F2"/>
      <rgbColor rgb="FFBDC3C7"/>
      <rgbColor rgb="FFF2CFEE"/>
      <rgbColor rgb="FFAAAAAA"/>
      <rgbColor rgb="FFFBE3D6"/>
      <rgbColor rgb="FF3498DB"/>
      <rgbColor rgb="FF33CCCC"/>
      <rgbColor rgb="FF99CC00"/>
      <rgbColor rgb="FFD9D9D9"/>
      <rgbColor rgb="FFFF9900"/>
      <rgbColor rgb="FFE74C3C"/>
      <rgbColor rgb="FF7F7F7F"/>
      <rgbColor rgb="FF7F8C8D"/>
      <rgbColor rgb="FF003366"/>
      <rgbColor rgb="FF27AE6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_3" displayName="표1_3" ref="A4:AH21" totalsRowShown="0">
  <autoFilter ref="A4:AH21" xr:uid="{00000000-0009-0000-0100-000001000000}"/>
  <tableColumns count="34">
    <tableColumn id="1" xr3:uid="{00000000-0010-0000-0000-000001000000}" name="순 _x000a_번"/>
    <tableColumn id="2" xr3:uid="{00000000-0010-0000-0000-000002000000}" name="착공일"/>
    <tableColumn id="3" xr3:uid="{00000000-0010-0000-0000-000003000000}" name="업체명"/>
    <tableColumn id="4" xr3:uid="{00000000-0010-0000-0000-000004000000}" name="현장명"/>
    <tableColumn id="5" xr3:uid="{00000000-0010-0000-0000-000005000000}" name="총실행가"/>
    <tableColumn id="6" xr3:uid="{00000000-0010-0000-0000-000006000000}" name="컨설팅_x000a_금액"/>
    <tableColumn id="7" xr3:uid="{00000000-0010-0000-0000-000007000000}" name="금액"/>
    <tableColumn id="8" xr3:uid="{00000000-0010-0000-0000-000008000000}" name="발행"/>
    <tableColumn id="9" xr3:uid="{00000000-0010-0000-0000-000009000000}" name="예정"/>
    <tableColumn id="10" xr3:uid="{00000000-0010-0000-0000-00000A000000}" name="입금"/>
    <tableColumn id="11" xr3:uid="{00000000-0010-0000-0000-00000B000000}" name="미수금액"/>
    <tableColumn id="12" xr3:uid="{00000000-0010-0000-0000-00000C000000}" name="금액2"/>
    <tableColumn id="13" xr3:uid="{00000000-0010-0000-0000-00000D000000}" name="발행3"/>
    <tableColumn id="14" xr3:uid="{00000000-0010-0000-0000-00000E000000}" name="예정4"/>
    <tableColumn id="15" xr3:uid="{00000000-0010-0000-0000-00000F000000}" name="입금5"/>
    <tableColumn id="16" xr3:uid="{00000000-0010-0000-0000-000010000000}" name="미수금액6"/>
    <tableColumn id="17" xr3:uid="{00000000-0010-0000-0000-000011000000}" name="금액7"/>
    <tableColumn id="18" xr3:uid="{00000000-0010-0000-0000-000012000000}" name="발행8"/>
    <tableColumn id="19" xr3:uid="{00000000-0010-0000-0000-000013000000}" name="예정9"/>
    <tableColumn id="20" xr3:uid="{00000000-0010-0000-0000-000014000000}" name="입금10"/>
    <tableColumn id="21" xr3:uid="{00000000-0010-0000-0000-000015000000}" name="미수금액11"/>
    <tableColumn id="22" xr3:uid="{00000000-0010-0000-0000-000016000000}" name="중간 수금액"/>
    <tableColumn id="23" xr3:uid="{00000000-0010-0000-0000-000017000000}" name="금액12"/>
    <tableColumn id="24" xr3:uid="{00000000-0010-0000-0000-000018000000}" name="차감액"/>
    <tableColumn id="25" xr3:uid="{00000000-0010-0000-0000-000019000000}" name="최종잔금"/>
    <tableColumn id="26" xr3:uid="{00000000-0010-0000-0000-00001A000000}" name="준공일_x000a_(A)"/>
    <tableColumn id="27" xr3:uid="{00000000-0010-0000-0000-00001B000000}" name="발행13"/>
    <tableColumn id="28" xr3:uid="{00000000-0010-0000-0000-00001C000000}" name="예정14"/>
    <tableColumn id="29" xr3:uid="{00000000-0010-0000-0000-00001D000000}" name="입금_x000a_(B)"/>
    <tableColumn id="30" xr3:uid="{00000000-0010-0000-0000-00001E000000}" name="정산_x000a_지연일_x000a_(A-B)"/>
    <tableColumn id="34" xr3:uid="{06DBC617-E39F-4D9E-A0D5-9A256559E921}" name="미수금액2" dataDxfId="26" dataCellStyle="쉼표 [0]">
      <calculatedColumnFormula>IF(COUNT(AC5),0,Y5)</calculatedColumnFormula>
    </tableColumn>
    <tableColumn id="31" xr3:uid="{00000000-0010-0000-0000-00001F000000}" name="최종수금액"/>
    <tableColumn id="32" xr3:uid="{00000000-0010-0000-0000-000020000000}" name="미수금액_x000a_(계산서발행o)">
      <calculatedColumnFormula>(K5+P5+표1_3[[#This Row],[미수금액2]])-AH5</calculatedColumnFormula>
    </tableColumn>
    <tableColumn id="33" xr3:uid="{00000000-0010-0000-0000-000021000000}" name="계산서_x000a_미발행액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5_3" displayName="표5_3" ref="A74:I161" totalsRowShown="0">
  <autoFilter ref="A74:I161" xr:uid="{00000000-0009-0000-0100-000002000000}"/>
  <tableColumns count="9">
    <tableColumn id="1" xr3:uid="{00000000-0010-0000-0100-000001000000}" name="발행일"/>
    <tableColumn id="2" xr3:uid="{00000000-0010-0000-0100-000002000000}" name="업체명"/>
    <tableColumn id="3" xr3:uid="{00000000-0010-0000-0100-000003000000}" name="현장명"/>
    <tableColumn id="4" xr3:uid="{00000000-0010-0000-0100-000004000000}" name="공급가"/>
    <tableColumn id="5" xr3:uid="{00000000-0010-0000-0100-000005000000}" name="세액"/>
    <tableColumn id="6" xr3:uid="{00000000-0010-0000-0100-000006000000}" name="합 계"/>
    <tableColumn id="7" xr3:uid="{00000000-0010-0000-0100-000007000000}" name="입금일"/>
    <tableColumn id="8" xr3:uid="{00000000-0010-0000-0100-000008000000}" name="수금액"/>
    <tableColumn id="9" xr3:uid="{00000000-0010-0000-0100-000009000000}" name="미수금액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6" displayName="표6" ref="B25:Q62" totalsRowShown="0">
  <autoFilter ref="B25:Q62" xr:uid="{00000000-0009-0000-0100-000003000000}"/>
  <tableColumns count="16">
    <tableColumn id="1" xr3:uid="{00000000-0010-0000-0200-000001000000}" name="특허 자문료 _x000a_공문 발송 일자"/>
    <tableColumn id="2" xr3:uid="{00000000-0010-0000-0200-000002000000}" name="업체명"/>
    <tableColumn id="3" xr3:uid="{00000000-0010-0000-0200-000003000000}" name="현장명"/>
    <tableColumn id="4" xr3:uid="{00000000-0010-0000-0200-000004000000}" name="낙찰 금액"/>
    <tableColumn id="5" xr3:uid="{00000000-0010-0000-0200-000005000000}" name="금액"/>
    <tableColumn id="6" xr3:uid="{00000000-0010-0000-0200-000006000000}" name="발행"/>
    <tableColumn id="7" xr3:uid="{00000000-0010-0000-0200-000007000000}" name="예정"/>
    <tableColumn id="8" xr3:uid="{00000000-0010-0000-0200-000008000000}" name="입금"/>
    <tableColumn id="9" xr3:uid="{00000000-0010-0000-0200-000009000000}" name="미수금액"/>
    <tableColumn id="10" xr3:uid="{00000000-0010-0000-0200-00000A000000}" name="금액2"/>
    <tableColumn id="11" xr3:uid="{00000000-0010-0000-0200-00000B000000}" name="발행3"/>
    <tableColumn id="12" xr3:uid="{00000000-0010-0000-0200-00000C000000}" name="예정4"/>
    <tableColumn id="13" xr3:uid="{00000000-0010-0000-0200-00000D000000}" name="입금5"/>
    <tableColumn id="14" xr3:uid="{00000000-0010-0000-0200-00000E000000}" name="미수금액6"/>
    <tableColumn id="15" xr3:uid="{00000000-0010-0000-0200-00000F000000}" name="수금액"/>
    <tableColumn id="16" xr3:uid="{00000000-0010-0000-0200-000010000000}" name="미수금액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showGridLines="0" tabSelected="1" zoomScaleNormal="100" workbookViewId="0">
      <selection activeCell="S27" sqref="S27"/>
    </sheetView>
  </sheetViews>
  <sheetFormatPr defaultColWidth="9" defaultRowHeight="16.5"/>
  <cols>
    <col min="1" max="2" width="2" style="3" customWidth="1"/>
    <col min="3" max="3" width="14" style="3" customWidth="1"/>
    <col min="4" max="4" width="11" style="3" customWidth="1"/>
    <col min="5" max="16" width="11" style="4" customWidth="1"/>
    <col min="17" max="20" width="10" style="4" customWidth="1"/>
    <col min="21" max="22" width="10" style="3" customWidth="1"/>
    <col min="23" max="16384" width="9" style="5"/>
  </cols>
  <sheetData>
    <row r="1" spans="1:24" ht="13.5" customHeight="1">
      <c r="A1" s="6"/>
      <c r="B1" s="6"/>
      <c r="C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30" customHeight="1">
      <c r="A2" s="6"/>
      <c r="B2" s="7"/>
      <c r="C2" s="347" t="s">
        <v>0</v>
      </c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8"/>
      <c r="V2" s="6"/>
      <c r="W2" s="6"/>
      <c r="X2" s="6"/>
    </row>
    <row r="3" spans="1:24" ht="7.5" customHeight="1">
      <c r="A3" s="6"/>
      <c r="B3" s="6"/>
      <c r="C3" s="9"/>
      <c r="Q3" s="6"/>
      <c r="R3" s="6"/>
      <c r="S3" s="6"/>
      <c r="T3" s="6"/>
      <c r="U3" s="6"/>
      <c r="V3" s="6"/>
      <c r="W3" s="6"/>
      <c r="X3" s="6"/>
    </row>
    <row r="4" spans="1:24" ht="7.5" customHeight="1">
      <c r="A4" s="6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13"/>
      <c r="S4" s="13"/>
      <c r="T4" s="13"/>
      <c r="U4" s="14"/>
      <c r="V4" s="6"/>
      <c r="W4" s="6"/>
      <c r="X4" s="6"/>
    </row>
    <row r="5" spans="1:24" ht="7.5" customHeight="1">
      <c r="A5" s="6"/>
      <c r="B5" s="15"/>
      <c r="C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6"/>
      <c r="V5" s="6"/>
      <c r="W5" s="6"/>
      <c r="X5" s="6"/>
    </row>
    <row r="6" spans="1:24" ht="21.75" customHeight="1">
      <c r="A6" s="6"/>
      <c r="B6" s="15"/>
      <c r="C6" s="348" t="s">
        <v>1</v>
      </c>
      <c r="D6" s="348"/>
      <c r="E6" s="348" t="s">
        <v>2</v>
      </c>
      <c r="F6" s="348"/>
      <c r="G6" s="348" t="s">
        <v>3</v>
      </c>
      <c r="H6" s="348"/>
      <c r="I6" s="2" t="s">
        <v>4</v>
      </c>
      <c r="J6" s="6"/>
      <c r="K6" s="349" t="s">
        <v>5</v>
      </c>
      <c r="L6" s="349"/>
      <c r="M6" s="350" t="s">
        <v>427</v>
      </c>
      <c r="N6" s="351"/>
      <c r="O6" s="1" t="s">
        <v>6</v>
      </c>
      <c r="P6" s="17"/>
      <c r="Q6" s="18"/>
      <c r="R6" s="18"/>
      <c r="S6" s="6"/>
      <c r="T6" s="18"/>
      <c r="U6" s="19"/>
      <c r="V6" s="18"/>
      <c r="W6" s="6"/>
      <c r="X6" s="6"/>
    </row>
    <row r="7" spans="1:24" ht="25.5" customHeight="1">
      <c r="A7" s="6"/>
      <c r="B7" s="15"/>
      <c r="C7" s="352">
        <v>23000000000</v>
      </c>
      <c r="D7" s="352"/>
      <c r="E7" s="352">
        <f>Q13</f>
        <v>612945600</v>
      </c>
      <c r="F7" s="352"/>
      <c r="G7" s="352">
        <f>Q17</f>
        <v>50154600</v>
      </c>
      <c r="H7" s="352"/>
      <c r="I7" s="20">
        <f>IF(C7&gt;0, G7/C7, 0)</f>
        <v>2.1806347826086956E-3</v>
      </c>
      <c r="J7" s="6"/>
      <c r="K7" s="353">
        <f ca="1">(SUM(컨설팅!P:P)+SUM(S_N솔루션!P:P)+SUM(특허기술자문료!P:P))</f>
        <v>650956900</v>
      </c>
      <c r="L7" s="353"/>
      <c r="M7" s="353">
        <f ca="1">(SUMIF(컨설팅!S:S,"확인요망",컨설팅!H:H)+SUMIF(S_N솔루션!S:S,"확인요망",S_N솔루션!H:H)+SUMIF(특허기술자문료!S:S,"확인요망",특허기술자문료!I:I))</f>
        <v>0</v>
      </c>
      <c r="N7" s="353"/>
      <c r="O7" s="21">
        <f>IF(G7&gt;0, (SUM(컨설팅!O:O)+SUM(S_N솔루션!O:O)+SUM(특허기술자문료!O:O))/1.1/G7, 0)</f>
        <v>0.36119518448955829</v>
      </c>
      <c r="P7" s="17"/>
      <c r="Q7" s="17"/>
      <c r="R7" s="17"/>
      <c r="S7" s="6"/>
      <c r="T7" s="17"/>
      <c r="U7" s="22"/>
      <c r="V7" s="23"/>
      <c r="W7" s="6"/>
      <c r="X7" s="6"/>
    </row>
    <row r="8" spans="1:24" ht="7.5" customHeight="1">
      <c r="A8" s="6"/>
      <c r="B8" s="15"/>
      <c r="C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6"/>
      <c r="V8" s="6"/>
      <c r="W8" s="6"/>
      <c r="X8" s="6"/>
    </row>
    <row r="9" spans="1:24" ht="7.5" customHeight="1">
      <c r="A9" s="6"/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6"/>
      <c r="W9" s="6"/>
      <c r="X9" s="6"/>
    </row>
    <row r="10" spans="1:24" ht="7.5" customHeight="1">
      <c r="A10" s="6"/>
      <c r="B10" s="15"/>
      <c r="C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6"/>
      <c r="V10" s="6"/>
      <c r="W10" s="6"/>
      <c r="X10" s="6"/>
    </row>
    <row r="11" spans="1:24" ht="19.5" customHeight="1">
      <c r="A11" s="6"/>
      <c r="B11" s="15"/>
      <c r="C11" s="27" t="s">
        <v>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6"/>
      <c r="V11" s="6"/>
      <c r="W11" s="6"/>
      <c r="X11" s="6"/>
    </row>
    <row r="12" spans="1:24" ht="18" customHeight="1">
      <c r="A12" s="6"/>
      <c r="B12" s="15"/>
      <c r="C12" s="28" t="s">
        <v>8</v>
      </c>
      <c r="D12" s="29" t="s">
        <v>9</v>
      </c>
      <c r="E12" s="29" t="s">
        <v>10</v>
      </c>
      <c r="F12" s="29" t="s">
        <v>11</v>
      </c>
      <c r="G12" s="29" t="s">
        <v>12</v>
      </c>
      <c r="H12" s="29" t="s">
        <v>13</v>
      </c>
      <c r="I12" s="29" t="s">
        <v>14</v>
      </c>
      <c r="J12" s="29" t="s">
        <v>15</v>
      </c>
      <c r="K12" s="29" t="s">
        <v>16</v>
      </c>
      <c r="L12" s="29" t="s">
        <v>17</v>
      </c>
      <c r="M12" s="29" t="s">
        <v>18</v>
      </c>
      <c r="N12" s="29" t="s">
        <v>19</v>
      </c>
      <c r="O12" s="29" t="s">
        <v>20</v>
      </c>
      <c r="P12" s="29" t="s">
        <v>21</v>
      </c>
      <c r="Q12" s="28" t="s">
        <v>22</v>
      </c>
      <c r="R12" s="6"/>
      <c r="S12" s="6"/>
      <c r="T12" s="6"/>
      <c r="U12" s="16"/>
      <c r="V12" s="6"/>
      <c r="W12" s="6"/>
      <c r="X12" s="6"/>
    </row>
    <row r="13" spans="1:24" ht="15.75" customHeight="1">
      <c r="A13" s="6"/>
      <c r="B13" s="15"/>
      <c r="C13" s="30" t="s">
        <v>23</v>
      </c>
      <c r="D13" s="31">
        <f>SUMIFS(컨설팅!H:H,컨설팅!J:J,"&gt;="&amp;DATE(2025,12,1),컨설팅!J:J,"&lt;="&amp;EOMONTH(DATE(2025,12,1),0))+SUMIFS(S_N솔루션!H:H,S_N솔루션!J:J,"&gt;="&amp;DATE(2025,12,1),S_N솔루션!J:J,"&lt;="&amp;EOMONTH(DATE(2025,12,1),0))+SUMIFS(특허기술자문료!I:I,특허기술자문료!J:J,"&gt;="&amp;DATE(2025,12,1),특허기술자문료!J:J,"&lt;="&amp;EOMONTH(DATE(2025,12,1),0))+SUMPRODUCT((LEFT(자재판매!A2:A500,7)="2025-12")*(자재판매!P2:P500))</f>
        <v>580906600</v>
      </c>
      <c r="E13" s="31">
        <f>SUMIFS(컨설팅!H:H,컨설팅!J:J,"&gt;="&amp;DATE(2026,1,1),컨설팅!J:J,"&lt;="&amp;EOMONTH(DATE(2026,1,1),0))+SUMIFS(S_N솔루션!H:H,S_N솔루션!J:J,"&gt;="&amp;DATE(2026,1,1),S_N솔루션!J:J,"&lt;="&amp;EOMONTH(DATE(2026,1,1),0))+SUMIFS(특허기술자문료!I:I,특허기술자문료!J:J,"&gt;="&amp;DATE(2026,1,1),특허기술자문료!J:J,"&lt;="&amp;EOMONTH(DATE(2026,1,1),0))+SUMPRODUCT((LEFT(자재판매!A2:A500,7)="2026-01")*(자재판매!P2:P500))</f>
        <v>32039000</v>
      </c>
      <c r="F13" s="31">
        <f>SUMIFS(컨설팅!H:H,컨설팅!J:J,"&gt;="&amp;DATE(2026,2,1),컨설팅!J:J,"&lt;="&amp;EOMONTH(DATE(2026,2,1),0))+SUMIFS(S_N솔루션!H:H,S_N솔루션!J:J,"&gt;="&amp;DATE(2026,2,1),S_N솔루션!J:J,"&lt;="&amp;EOMONTH(DATE(2026,2,1),0))+SUMIFS(특허기술자문료!I:I,특허기술자문료!J:J,"&gt;="&amp;DATE(2026,2,1),특허기술자문료!J:J,"&lt;="&amp;EOMONTH(DATE(2026,2,1),0))+SUMPRODUCT((LEFT(자재판매!A2:A500,7)="2026-02")*(자재판매!P2:P500))</f>
        <v>0</v>
      </c>
      <c r="G13" s="31">
        <f>SUMIFS(컨설팅!H:H,컨설팅!J:J,"&gt;="&amp;DATE(2026,3,1),컨설팅!J:J,"&lt;="&amp;EOMONTH(DATE(2026,3,1),0))+SUMIFS(S_N솔루션!H:H,S_N솔루션!J:J,"&gt;="&amp;DATE(2026,3,1),S_N솔루션!J:J,"&lt;="&amp;EOMONTH(DATE(2026,3,1),0))+SUMIFS(특허기술자문료!I:I,특허기술자문료!J:J,"&gt;="&amp;DATE(2026,3,1),특허기술자문료!J:J,"&lt;="&amp;EOMONTH(DATE(2026,3,1),0))+SUMPRODUCT((LEFT(자재판매!A2:A500,7)="2026-03")*(자재판매!P2:P500))</f>
        <v>0</v>
      </c>
      <c r="H13" s="31">
        <f>SUMIFS(컨설팅!H:H,컨설팅!J:J,"&gt;="&amp;DATE(2026,4,1),컨설팅!J:J,"&lt;="&amp;EOMONTH(DATE(2026,4,1),0))+SUMIFS(S_N솔루션!H:H,S_N솔루션!J:J,"&gt;="&amp;DATE(2026,4,1),S_N솔루션!J:J,"&lt;="&amp;EOMONTH(DATE(2026,4,1),0))+SUMIFS(특허기술자문료!I:I,특허기술자문료!J:J,"&gt;="&amp;DATE(2026,4,1),특허기술자문료!J:J,"&lt;="&amp;EOMONTH(DATE(2026,4,1),0))+SUMPRODUCT((LEFT(자재판매!A2:A500,7)="2026-04")*(자재판매!P2:P500))</f>
        <v>0</v>
      </c>
      <c r="I13" s="31">
        <f>SUMIFS(컨설팅!H:H,컨설팅!J:J,"&gt;="&amp;DATE(2026,5,1),컨설팅!J:J,"&lt;="&amp;EOMONTH(DATE(2026,5,1),0))+SUMIFS(S_N솔루션!H:H,S_N솔루션!J:J,"&gt;="&amp;DATE(2026,5,1),S_N솔루션!J:J,"&lt;="&amp;EOMONTH(DATE(2026,5,1),0))+SUMIFS(특허기술자문료!I:I,특허기술자문료!J:J,"&gt;="&amp;DATE(2026,5,1),특허기술자문료!J:J,"&lt;="&amp;EOMONTH(DATE(2026,5,1),0))+SUMPRODUCT((LEFT(자재판매!A2:A500,7)="2026-05")*(자재판매!P2:P500))</f>
        <v>0</v>
      </c>
      <c r="J13" s="31">
        <f>SUMIFS(컨설팅!H:H,컨설팅!J:J,"&gt;="&amp;DATE(2026,6,1),컨설팅!J:J,"&lt;="&amp;EOMONTH(DATE(2026,6,1),0))+SUMIFS(S_N솔루션!H:H,S_N솔루션!J:J,"&gt;="&amp;DATE(2026,6,1),S_N솔루션!J:J,"&lt;="&amp;EOMONTH(DATE(2026,6,1),0))+SUMIFS(특허기술자문료!I:I,특허기술자문료!J:J,"&gt;="&amp;DATE(2026,6,1),특허기술자문료!J:J,"&lt;="&amp;EOMONTH(DATE(2026,6,1),0))+SUMPRODUCT((LEFT(자재판매!A2:A500,7)="2026-06")*(자재판매!P2:P500))</f>
        <v>0</v>
      </c>
      <c r="K13" s="31">
        <f>SUMIFS(컨설팅!H:H,컨설팅!J:J,"&gt;="&amp;DATE(2026,7,1),컨설팅!J:J,"&lt;="&amp;EOMONTH(DATE(2026,7,1),0))+SUMIFS(S_N솔루션!H:H,S_N솔루션!J:J,"&gt;="&amp;DATE(2026,7,1),S_N솔루션!J:J,"&lt;="&amp;EOMONTH(DATE(2026,7,1),0))+SUMIFS(특허기술자문료!I:I,특허기술자문료!J:J,"&gt;="&amp;DATE(2026,7,1),특허기술자문료!J:J,"&lt;="&amp;EOMONTH(DATE(2026,7,1),0))+SUMPRODUCT((LEFT(자재판매!A2:A500,7)="2026-07")*(자재판매!P2:P500))</f>
        <v>0</v>
      </c>
      <c r="L13" s="31">
        <f>SUMIFS(컨설팅!H:H,컨설팅!J:J,"&gt;="&amp;DATE(2026,8,1),컨설팅!J:J,"&lt;="&amp;EOMONTH(DATE(2026,8,1),0))+SUMIFS(S_N솔루션!H:H,S_N솔루션!J:J,"&gt;="&amp;DATE(2026,8,1),S_N솔루션!J:J,"&lt;="&amp;EOMONTH(DATE(2026,8,1),0))+SUMIFS(특허기술자문료!I:I,특허기술자문료!J:J,"&gt;="&amp;DATE(2026,8,1),특허기술자문료!J:J,"&lt;="&amp;EOMONTH(DATE(2026,8,1),0))+SUMPRODUCT((LEFT(자재판매!A2:A500,7)="2026-08")*(자재판매!P2:P500))</f>
        <v>0</v>
      </c>
      <c r="M13" s="31">
        <f>SUMIFS(컨설팅!H:H,컨설팅!J:J,"&gt;="&amp;DATE(2026,9,1),컨설팅!J:J,"&lt;="&amp;EOMONTH(DATE(2026,9,1),0))+SUMIFS(S_N솔루션!H:H,S_N솔루션!J:J,"&gt;="&amp;DATE(2026,9,1),S_N솔루션!J:J,"&lt;="&amp;EOMONTH(DATE(2026,9,1),0))+SUMIFS(특허기술자문료!I:I,특허기술자문료!J:J,"&gt;="&amp;DATE(2026,9,1),특허기술자문료!J:J,"&lt;="&amp;EOMONTH(DATE(2026,9,1),0))+SUMPRODUCT((LEFT(자재판매!A2:A500,7)="2026-09")*(자재판매!P2:P500))</f>
        <v>0</v>
      </c>
      <c r="N13" s="31">
        <f>SUMIFS(컨설팅!H:H,컨설팅!J:J,"&gt;="&amp;DATE(2026,10,1),컨설팅!J:J,"&lt;="&amp;EOMONTH(DATE(2026,10,1),0))+SUMIFS(S_N솔루션!H:H,S_N솔루션!J:J,"&gt;="&amp;DATE(2026,10,1),S_N솔루션!J:J,"&lt;="&amp;EOMONTH(DATE(2026,10,1),0))+SUMIFS(특허기술자문료!I:I,특허기술자문료!J:J,"&gt;="&amp;DATE(2026,10,1),특허기술자문료!J:J,"&lt;="&amp;EOMONTH(DATE(2026,10,1),0))+SUMPRODUCT((LEFT(자재판매!A2:A500,7)="2026-10")*(자재판매!P2:P500))</f>
        <v>0</v>
      </c>
      <c r="O13" s="31">
        <f>SUMIFS(컨설팅!H:H,컨설팅!J:J,"&gt;="&amp;DATE(2026,11,1),컨설팅!J:J,"&lt;="&amp;EOMONTH(DATE(2026,11,1),0))+SUMIFS(S_N솔루션!H:H,S_N솔루션!J:J,"&gt;="&amp;DATE(2026,11,1),S_N솔루션!J:J,"&lt;="&amp;EOMONTH(DATE(2026,11,1),0))+SUMIFS(특허기술자문료!I:I,특허기술자문료!J:J,"&gt;="&amp;DATE(2026,11,1),특허기술자문료!J:J,"&lt;="&amp;EOMONTH(DATE(2026,11,1),0))+SUMPRODUCT((LEFT(자재판매!A2:A500,7)="2026-11")*(자재판매!P2:P500))</f>
        <v>0</v>
      </c>
      <c r="P13" s="31">
        <f>SUMIFS(컨설팅!H:H,컨설팅!J:J,"&gt;="&amp;DATE(2026,12,1),컨설팅!J:J,"&lt;="&amp;EOMONTH(DATE(2026,12,1),0))+SUMIFS(S_N솔루션!H:H,S_N솔루션!J:J,"&gt;="&amp;DATE(2026,12,1),S_N솔루션!J:J,"&lt;="&amp;EOMONTH(DATE(2026,12,1),0))+SUMIFS(특허기술자문료!I:I,특허기술자문료!J:J,"&gt;="&amp;DATE(2026,12,1),특허기술자문료!J:J,"&lt;="&amp;EOMONTH(DATE(2026,12,1),0))+SUMPRODUCT((LEFT(자재판매!A2:A500,7)="2026-12")*(자재판매!P2:P500))</f>
        <v>0</v>
      </c>
      <c r="Q13" s="31">
        <f>SUM(D13:P13)</f>
        <v>612945600</v>
      </c>
      <c r="R13" s="6"/>
      <c r="S13" s="6"/>
      <c r="T13" s="6"/>
      <c r="U13" s="16"/>
      <c r="V13" s="6"/>
      <c r="W13" s="6"/>
      <c r="X13" s="6"/>
    </row>
    <row r="14" spans="1:24" ht="7.5" customHeight="1">
      <c r="A14" s="6"/>
      <c r="B14" s="1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6"/>
      <c r="V14" s="6"/>
      <c r="W14" s="6"/>
      <c r="X14" s="6"/>
    </row>
    <row r="15" spans="1:24" ht="19.5" customHeight="1">
      <c r="A15" s="6"/>
      <c r="B15" s="15"/>
      <c r="C15" s="27" t="s">
        <v>24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6"/>
      <c r="V15" s="6"/>
      <c r="W15" s="6"/>
      <c r="X15" s="6"/>
    </row>
    <row r="16" spans="1:24" ht="18" customHeight="1">
      <c r="A16" s="6"/>
      <c r="B16" s="15"/>
      <c r="C16" s="28" t="s">
        <v>25</v>
      </c>
      <c r="D16" s="29" t="s">
        <v>9</v>
      </c>
      <c r="E16" s="29" t="s">
        <v>10</v>
      </c>
      <c r="F16" s="29" t="s">
        <v>11</v>
      </c>
      <c r="G16" s="29" t="s">
        <v>12</v>
      </c>
      <c r="H16" s="29" t="s">
        <v>13</v>
      </c>
      <c r="I16" s="29" t="s">
        <v>14</v>
      </c>
      <c r="J16" s="29" t="s">
        <v>15</v>
      </c>
      <c r="K16" s="29" t="s">
        <v>16</v>
      </c>
      <c r="L16" s="29" t="s">
        <v>17</v>
      </c>
      <c r="M16" s="29" t="s">
        <v>18</v>
      </c>
      <c r="N16" s="29" t="s">
        <v>19</v>
      </c>
      <c r="O16" s="29" t="s">
        <v>20</v>
      </c>
      <c r="P16" s="29" t="s">
        <v>21</v>
      </c>
      <c r="Q16" s="28" t="s">
        <v>22</v>
      </c>
      <c r="R16" s="6"/>
      <c r="S16" s="6"/>
      <c r="T16" s="6"/>
      <c r="U16" s="16"/>
      <c r="V16" s="6"/>
      <c r="W16" s="6"/>
      <c r="X16" s="6"/>
    </row>
    <row r="17" spans="1:24" ht="15.75" customHeight="1">
      <c r="A17" s="6"/>
      <c r="B17" s="15"/>
      <c r="C17" s="30" t="s">
        <v>23</v>
      </c>
      <c r="D17" s="31">
        <f>SUMIFS(컨설팅!H:H,컨설팅!L:L,"&gt;="&amp;DATE(2025,12,1),컨설팅!L:L,"&lt;="&amp;EOMONTH(DATE(2025,12,1),0))+SUMIFS(S_N솔루션!H:H,S_N솔루션!K:K,"&gt;="&amp;DATE(2025,12,1),S_N솔루션!K:K,"&lt;="&amp;EOMONTH(DATE(2025,12,1),0))+SUMIFS(특허기술자문료!I:I,특허기술자문료!K:K,"&gt;="&amp;DATE(2025,12,1),특허기술자문료!K:K,"&lt;="&amp;EOMONTH(DATE(2025,12,1),0))+SUMPRODUCT((LEFT(자재판매!A2:A500,7)="2025-12")*(자재판매!P2:P500))</f>
        <v>0</v>
      </c>
      <c r="E17" s="31">
        <f>SUMIFS(컨설팅!H:H,컨설팅!L:L,"&gt;="&amp;DATE(2026,1,1),컨설팅!L:L,"&lt;="&amp;EOMONTH(DATE(2026,1,1),0))+SUMIFS(S_N솔루션!H:H,S_N솔루션!K:K,"&gt;="&amp;DATE(2026,1,1),S_N솔루션!K:K,"&lt;="&amp;EOMONTH(DATE(2026,1,1),0))+SUMIFS(특허기술자문료!I:I,특허기술자문료!K:K,"&gt;="&amp;DATE(2026,1,1),특허기술자문료!K:K,"&lt;="&amp;EOMONTH(DATE(2026,1,1),0))+SUMPRODUCT((LEFT(자재판매!A2:A500,7)="2026-01")*(자재판매!P2:P500))</f>
        <v>50154600</v>
      </c>
      <c r="F17" s="31">
        <f>SUMIFS(컨설팅!H:H,컨설팅!L:L,"&gt;="&amp;DATE(2026,2,1),컨설팅!L:L,"&lt;="&amp;EOMONTH(DATE(2026,2,1),0))+SUMIFS(S_N솔루션!H:H,S_N솔루션!K:K,"&gt;="&amp;DATE(2026,2,1),S_N솔루션!K:K,"&lt;="&amp;EOMONTH(DATE(2026,2,1),0))+SUMIFS(특허기술자문료!I:I,특허기술자문료!K:K,"&gt;="&amp;DATE(2026,2,1),특허기술자문료!K:K,"&lt;="&amp;EOMONTH(DATE(2026,2,1),0))+SUMPRODUCT((LEFT(자재판매!A2:A500,7)="2026-02")*(자재판매!P2:P500))</f>
        <v>0</v>
      </c>
      <c r="G17" s="31">
        <f>SUMIFS(컨설팅!H:H,컨설팅!L:L,"&gt;="&amp;DATE(2026,3,1),컨설팅!L:L,"&lt;="&amp;EOMONTH(DATE(2026,3,1),0))+SUMIFS(S_N솔루션!H:H,S_N솔루션!K:K,"&gt;="&amp;DATE(2026,3,1),S_N솔루션!K:K,"&lt;="&amp;EOMONTH(DATE(2026,3,1),0))+SUMIFS(특허기술자문료!I:I,특허기술자문료!K:K,"&gt;="&amp;DATE(2026,3,1),특허기술자문료!K:K,"&lt;="&amp;EOMONTH(DATE(2026,3,1),0))+SUMPRODUCT((LEFT(자재판매!A2:A500,7)="2026-03")*(자재판매!P2:P500))</f>
        <v>0</v>
      </c>
      <c r="H17" s="31">
        <f>SUMIFS(컨설팅!H:H,컨설팅!L:L,"&gt;="&amp;DATE(2026,4,1),컨설팅!L:L,"&lt;="&amp;EOMONTH(DATE(2026,4,1),0))+SUMIFS(S_N솔루션!H:H,S_N솔루션!K:K,"&gt;="&amp;DATE(2026,4,1),S_N솔루션!K:K,"&lt;="&amp;EOMONTH(DATE(2026,4,1),0))+SUMIFS(특허기술자문료!I:I,특허기술자문료!K:K,"&gt;="&amp;DATE(2026,4,1),특허기술자문료!K:K,"&lt;="&amp;EOMONTH(DATE(2026,4,1),0))+SUMPRODUCT((LEFT(자재판매!A2:A500,7)="2026-04")*(자재판매!P2:P500))</f>
        <v>0</v>
      </c>
      <c r="I17" s="31">
        <f>SUMIFS(컨설팅!H:H,컨설팅!L:L,"&gt;="&amp;DATE(2026,5,1),컨설팅!L:L,"&lt;="&amp;EOMONTH(DATE(2026,5,1),0))+SUMIFS(S_N솔루션!H:H,S_N솔루션!K:K,"&gt;="&amp;DATE(2026,5,1),S_N솔루션!K:K,"&lt;="&amp;EOMONTH(DATE(2026,5,1),0))+SUMIFS(특허기술자문료!I:I,특허기술자문료!K:K,"&gt;="&amp;DATE(2026,5,1),특허기술자문료!K:K,"&lt;="&amp;EOMONTH(DATE(2026,5,1),0))+SUMPRODUCT((LEFT(자재판매!A2:A500,7)="2026-05")*(자재판매!P2:P500))</f>
        <v>0</v>
      </c>
      <c r="J17" s="31">
        <f>SUMIFS(컨설팅!H:H,컨설팅!L:L,"&gt;="&amp;DATE(2026,6,1),컨설팅!L:L,"&lt;="&amp;EOMONTH(DATE(2026,6,1),0))+SUMIFS(S_N솔루션!H:H,S_N솔루션!K:K,"&gt;="&amp;DATE(2026,6,1),S_N솔루션!K:K,"&lt;="&amp;EOMONTH(DATE(2026,6,1),0))+SUMIFS(특허기술자문료!I:I,특허기술자문료!K:K,"&gt;="&amp;DATE(2026,6,1),특허기술자문료!K:K,"&lt;="&amp;EOMONTH(DATE(2026,6,1),0))+SUMPRODUCT((LEFT(자재판매!A2:A500,7)="2026-06")*(자재판매!P2:P500))</f>
        <v>0</v>
      </c>
      <c r="K17" s="31">
        <f>SUMIFS(컨설팅!H:H,컨설팅!L:L,"&gt;="&amp;DATE(2026,7,1),컨설팅!L:L,"&lt;="&amp;EOMONTH(DATE(2026,7,1),0))+SUMIFS(S_N솔루션!H:H,S_N솔루션!K:K,"&gt;="&amp;DATE(2026,7,1),S_N솔루션!K:K,"&lt;="&amp;EOMONTH(DATE(2026,7,1),0))+SUMIFS(특허기술자문료!I:I,특허기술자문료!K:K,"&gt;="&amp;DATE(2026,7,1),특허기술자문료!K:K,"&lt;="&amp;EOMONTH(DATE(2026,7,1),0))+SUMPRODUCT((LEFT(자재판매!A2:A500,7)="2026-07")*(자재판매!P2:P500))</f>
        <v>0</v>
      </c>
      <c r="L17" s="31">
        <f>SUMIFS(컨설팅!H:H,컨설팅!L:L,"&gt;="&amp;DATE(2026,8,1),컨설팅!L:L,"&lt;="&amp;EOMONTH(DATE(2026,8,1),0))+SUMIFS(S_N솔루션!H:H,S_N솔루션!K:K,"&gt;="&amp;DATE(2026,8,1),S_N솔루션!K:K,"&lt;="&amp;EOMONTH(DATE(2026,8,1),0))+SUMIFS(특허기술자문료!I:I,특허기술자문료!K:K,"&gt;="&amp;DATE(2026,8,1),특허기술자문료!K:K,"&lt;="&amp;EOMONTH(DATE(2026,8,1),0))+SUMPRODUCT((LEFT(자재판매!A2:A500,7)="2026-08")*(자재판매!P2:P500))</f>
        <v>0</v>
      </c>
      <c r="M17" s="31">
        <f>SUMIFS(컨설팅!H:H,컨설팅!L:L,"&gt;="&amp;DATE(2026,9,1),컨설팅!L:L,"&lt;="&amp;EOMONTH(DATE(2026,9,1),0))+SUMIFS(S_N솔루션!H:H,S_N솔루션!K:K,"&gt;="&amp;DATE(2026,9,1),S_N솔루션!K:K,"&lt;="&amp;EOMONTH(DATE(2026,9,1),0))+SUMIFS(특허기술자문료!I:I,특허기술자문료!K:K,"&gt;="&amp;DATE(2026,9,1),특허기술자문료!K:K,"&lt;="&amp;EOMONTH(DATE(2026,9,1),0))+SUMPRODUCT((LEFT(자재판매!A2:A500,7)="2026-09")*(자재판매!P2:P500))</f>
        <v>0</v>
      </c>
      <c r="N17" s="31">
        <f>SUMIFS(컨설팅!H:H,컨설팅!L:L,"&gt;="&amp;DATE(2026,10,1),컨설팅!L:L,"&lt;="&amp;EOMONTH(DATE(2026,10,1),0))+SUMIFS(S_N솔루션!H:H,S_N솔루션!K:K,"&gt;="&amp;DATE(2026,10,1),S_N솔루션!K:K,"&lt;="&amp;EOMONTH(DATE(2026,10,1),0))+SUMIFS(특허기술자문료!I:I,특허기술자문료!K:K,"&gt;="&amp;DATE(2026,10,1),특허기술자문료!K:K,"&lt;="&amp;EOMONTH(DATE(2026,10,1),0))+SUMPRODUCT((LEFT(자재판매!A2:A500,7)="2026-10")*(자재판매!P2:P500))</f>
        <v>0</v>
      </c>
      <c r="O17" s="31">
        <f>SUMIFS(컨설팅!H:H,컨설팅!L:L,"&gt;="&amp;DATE(2026,11,1),컨설팅!L:L,"&lt;="&amp;EOMONTH(DATE(2026,11,1),0))+SUMIFS(S_N솔루션!H:H,S_N솔루션!K:K,"&gt;="&amp;DATE(2026,11,1),S_N솔루션!K:K,"&lt;="&amp;EOMONTH(DATE(2026,11,1),0))+SUMIFS(특허기술자문료!I:I,특허기술자문료!K:K,"&gt;="&amp;DATE(2026,11,1),특허기술자문료!K:K,"&lt;="&amp;EOMONTH(DATE(2026,11,1),0))+SUMPRODUCT((LEFT(자재판매!A2:A500,7)="2026-11")*(자재판매!P2:P500))</f>
        <v>0</v>
      </c>
      <c r="P17" s="31">
        <f>SUMIFS(컨설팅!H:H,컨설팅!L:L,"&gt;="&amp;DATE(2026,12,1),컨설팅!L:L,"&lt;="&amp;EOMONTH(DATE(2026,12,1),0))+SUMIFS(S_N솔루션!H:H,S_N솔루션!K:K,"&gt;="&amp;DATE(2026,12,1),S_N솔루션!K:K,"&lt;="&amp;EOMONTH(DATE(2026,12,1),0))+SUMIFS(특허기술자문료!I:I,특허기술자문료!K:K,"&gt;="&amp;DATE(2026,12,1),특허기술자문료!K:K,"&lt;="&amp;EOMONTH(DATE(2026,12,1),0))+SUMPRODUCT((LEFT(자재판매!A2:A500,7)="2026-12")*(자재판매!P2:P500))</f>
        <v>0</v>
      </c>
      <c r="Q17" s="31">
        <f>SUM(D17:P17)</f>
        <v>50154600</v>
      </c>
      <c r="R17" s="6"/>
      <c r="S17" s="6"/>
      <c r="T17" s="6"/>
      <c r="U17" s="16"/>
      <c r="V17" s="6"/>
      <c r="W17" s="6"/>
      <c r="X17" s="6"/>
    </row>
    <row r="18" spans="1:24" ht="7.5" customHeight="1">
      <c r="A18" s="6"/>
      <c r="B18" s="15"/>
      <c r="C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6"/>
      <c r="V18" s="6"/>
      <c r="W18" s="6"/>
      <c r="X18" s="6"/>
    </row>
    <row r="19" spans="1:24" ht="7.5" customHeight="1">
      <c r="A19" s="6"/>
      <c r="B19" s="1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6"/>
      <c r="V19" s="6"/>
      <c r="W19" s="6"/>
      <c r="X19" s="6"/>
    </row>
    <row r="20" spans="1:24" ht="7.5" customHeight="1">
      <c r="A20" s="6"/>
      <c r="B20" s="1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6"/>
      <c r="W20" s="6"/>
      <c r="X20" s="6"/>
    </row>
    <row r="21" spans="1:24" ht="7.5" customHeight="1">
      <c r="A21" s="6"/>
      <c r="B21" s="15"/>
      <c r="C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6"/>
      <c r="V21" s="6"/>
      <c r="W21" s="6"/>
      <c r="X21" s="6"/>
    </row>
    <row r="22" spans="1:24" ht="7.5" customHeight="1">
      <c r="A22" s="6"/>
      <c r="B22" s="15"/>
      <c r="C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6"/>
      <c r="V22" s="6"/>
      <c r="W22" s="6"/>
      <c r="X22" s="6"/>
    </row>
    <row r="23" spans="1:24" ht="19.5" customHeight="1">
      <c r="A23" s="6"/>
      <c r="B23" s="15"/>
      <c r="C23" s="27" t="s">
        <v>26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6"/>
      <c r="V23" s="6"/>
      <c r="W23" s="6"/>
      <c r="X23" s="6"/>
    </row>
    <row r="24" spans="1:24" ht="18" customHeight="1">
      <c r="A24" s="6"/>
      <c r="B24" s="15"/>
      <c r="C24" s="28" t="s">
        <v>27</v>
      </c>
      <c r="D24" s="28" t="s">
        <v>28</v>
      </c>
      <c r="E24" s="28" t="s">
        <v>2</v>
      </c>
      <c r="F24" s="28" t="s">
        <v>3</v>
      </c>
      <c r="G24" s="28" t="s">
        <v>5</v>
      </c>
      <c r="H24" s="28" t="s">
        <v>29</v>
      </c>
      <c r="I24" s="28" t="s">
        <v>6</v>
      </c>
      <c r="J24" s="6"/>
      <c r="K24" s="18"/>
      <c r="L24" s="6"/>
      <c r="M24" s="6"/>
      <c r="N24" s="6"/>
      <c r="O24" s="6"/>
      <c r="P24" s="6"/>
      <c r="Q24" s="6"/>
      <c r="R24" s="6"/>
      <c r="S24" s="6"/>
      <c r="T24" s="6"/>
      <c r="U24" s="16"/>
      <c r="V24" s="6"/>
      <c r="W24" s="6"/>
      <c r="X24" s="6"/>
    </row>
    <row r="25" spans="1:24" ht="15.75" customHeight="1">
      <c r="A25" s="6"/>
      <c r="B25" s="15"/>
      <c r="C25" s="32" t="s">
        <v>30</v>
      </c>
      <c r="D25" s="33">
        <f>MAX(컨설팅!B:B)</f>
        <v>8</v>
      </c>
      <c r="E25" s="33">
        <f>SUMIFS(컨설팅!H:H,컨설팅!J:J,"&gt;="&amp;DATE(2025,12,1),컨설팅!J:J,"&lt;="&amp;DATE(2026,12,31))</f>
        <v>562791000</v>
      </c>
      <c r="F25" s="33">
        <f>SUMIFS(컨설팅!H:H,컨설팅!L:L,"&gt;="&amp;DATE(2025,12,1),컨설팅!L:L,"&lt;="&amp;DATE(2026,12,31))</f>
        <v>0</v>
      </c>
      <c r="G25" s="33">
        <f>SUM(컨설팅!P:P)/1.1</f>
        <v>591779000</v>
      </c>
      <c r="H25" s="33">
        <f ca="1">SUMIF(컨설팅!S:S,"확인요망",컨설팅!P:P)/1.1</f>
        <v>0</v>
      </c>
      <c r="I25" s="33">
        <f>IF(F25&gt;0, SUM(컨설팅!O:O)/1.1/F25, 0)</f>
        <v>0</v>
      </c>
      <c r="J25" s="6"/>
      <c r="K25" s="34"/>
      <c r="L25" s="6"/>
      <c r="M25" s="6"/>
      <c r="N25" s="6"/>
      <c r="O25" s="6"/>
      <c r="P25" s="6"/>
      <c r="Q25" s="6"/>
      <c r="R25" s="6"/>
      <c r="S25" s="6"/>
      <c r="T25" s="6"/>
      <c r="U25" s="16"/>
      <c r="V25" s="6"/>
      <c r="W25" s="6"/>
      <c r="X25" s="6"/>
    </row>
    <row r="26" spans="1:24" ht="15.75" customHeight="1">
      <c r="A26" s="6"/>
      <c r="B26" s="15"/>
      <c r="C26" s="32" t="s">
        <v>31</v>
      </c>
      <c r="D26" s="33">
        <f>MAX(S_N솔루션!B:B)</f>
        <v>1</v>
      </c>
      <c r="E26" s="33">
        <f>SUMIFS(S_N솔루션!H:H,S_N솔루션!J:J,"&gt;="&amp;DATE(2025,12,1),S_N솔루션!J:J,"&lt;="&amp;DATE(2026,12,31))</f>
        <v>0</v>
      </c>
      <c r="F26" s="33">
        <f>SUMIFS(S_N솔루션!H:H,S_N솔루션!K:K,"&gt;="&amp;DATE(2025,12,1),S_N솔루션!K:K,"&lt;="&amp;DATE(2026,12,31))</f>
        <v>0</v>
      </c>
      <c r="G26" s="33">
        <f>SUM(S_N솔루션!O:O)/1.1</f>
        <v>0</v>
      </c>
      <c r="H26" s="33">
        <f ca="1">SUMIF(S_N솔루션!P:P,"확인요망",S_N솔루션!O:O)/1.1</f>
        <v>0</v>
      </c>
      <c r="I26" s="33">
        <f>IF(F26&gt;0, SUM(S_N솔루션!N:N)/1.1/F26, 0)</f>
        <v>0</v>
      </c>
      <c r="J26" s="6"/>
      <c r="K26" s="34"/>
      <c r="L26" s="6"/>
      <c r="M26" s="6"/>
      <c r="N26" s="6"/>
      <c r="O26" s="6"/>
      <c r="P26" s="6"/>
      <c r="Q26" s="6"/>
      <c r="R26" s="6"/>
      <c r="S26" s="6"/>
      <c r="T26" s="6"/>
      <c r="U26" s="16"/>
      <c r="V26" s="6"/>
      <c r="W26" s="6"/>
      <c r="X26" s="6"/>
    </row>
    <row r="27" spans="1:24" ht="15.75" customHeight="1">
      <c r="A27" s="6"/>
      <c r="B27" s="15"/>
      <c r="C27" s="32" t="s">
        <v>32</v>
      </c>
      <c r="D27" s="33">
        <f>MAX(특허기술자문료!B:B)</f>
        <v>3</v>
      </c>
      <c r="E27" s="33">
        <f>SUMIFS(특허기술자문료!I:I,특허기술자문료!J:J,"&gt;="&amp;DATE(2025,12,1),특허기술자문료!J:J,"&lt;="&amp;DATE(2026,12,31))</f>
        <v>18115600</v>
      </c>
      <c r="F27" s="33">
        <f>SUMIFS(특허기술자문료!I:I,특허기술자문료!K:K,"&gt;="&amp;DATE(2025,12,1),특허기술자문료!K:K,"&lt;="&amp;DATE(2026,12,31))</f>
        <v>18115600</v>
      </c>
      <c r="G27" s="33">
        <f>SUM(특허기술자문료!O:O)/1.1</f>
        <v>18115600</v>
      </c>
      <c r="H27" s="33">
        <f ca="1">SUMIF(특허기술자문료!P:P,"확인요망",특허기술자문료!O:O)/1.1</f>
        <v>0</v>
      </c>
      <c r="I27" s="33">
        <f>IF(F27&gt;0, SUM(특허기술자문료!N:N)/1.1/F27, 0)</f>
        <v>0</v>
      </c>
      <c r="J27" s="6"/>
      <c r="K27" s="34"/>
      <c r="L27" s="6"/>
      <c r="M27" s="6"/>
      <c r="N27" s="6"/>
      <c r="O27" s="6"/>
      <c r="P27" s="6"/>
      <c r="Q27" s="6"/>
      <c r="R27" s="6"/>
      <c r="S27" s="6"/>
      <c r="T27" s="6"/>
      <c r="U27" s="16"/>
      <c r="V27" s="6"/>
      <c r="W27" s="6"/>
      <c r="X27" s="6"/>
    </row>
    <row r="28" spans="1:24" ht="15.75" customHeight="1">
      <c r="A28" s="6"/>
      <c r="B28" s="15"/>
      <c r="C28" s="35" t="s">
        <v>33</v>
      </c>
      <c r="D28" s="36">
        <f>COUNTA(자재판매!A:A)-1</f>
        <v>5</v>
      </c>
      <c r="E28" s="36">
        <f>SUMPRODUCT((LEFT(자재판매!A2:A500,7)&gt;="2025-12")*(LEFT(자재판매!A2:A500,7)&lt;="2026-12")*(자재판매!P2:P500))</f>
        <v>32039000</v>
      </c>
      <c r="F28" s="36">
        <f>SUMPRODUCT((LEFT(자재판매!A2:A500,7)&gt;="2025-12")*(LEFT(자재판매!A2:A500,7)&lt;="2026-12")*(자재판매!P2:P500))</f>
        <v>32039000</v>
      </c>
      <c r="G28" s="36">
        <f>SUM(자재판매!AK:AK)/1.1</f>
        <v>32039000.000000004</v>
      </c>
      <c r="H28" s="36">
        <f ca="1">SUMIF(자재판매!AL:AL,"확인요망",자재판매!AK:AK)/1.1</f>
        <v>0</v>
      </c>
      <c r="I28" s="36">
        <f>IF(F28&gt;0, SUM(자재판매!AJ:AJ)/1.1/F28, 0)</f>
        <v>0</v>
      </c>
      <c r="J28" s="6"/>
      <c r="K28" s="34"/>
      <c r="L28" s="6"/>
      <c r="M28" s="6"/>
      <c r="N28" s="6"/>
      <c r="O28" s="6"/>
      <c r="P28" s="6"/>
      <c r="Q28" s="6"/>
      <c r="R28" s="6"/>
      <c r="S28" s="6"/>
      <c r="T28" s="6"/>
      <c r="U28" s="16"/>
      <c r="V28" s="6"/>
      <c r="W28" s="6"/>
      <c r="X28" s="6"/>
    </row>
    <row r="29" spans="1:24" ht="15.75" customHeight="1">
      <c r="A29" s="6"/>
      <c r="B29" s="15"/>
      <c r="C29" s="37" t="s">
        <v>34</v>
      </c>
      <c r="D29" s="38" t="s">
        <v>35</v>
      </c>
      <c r="E29" s="38" t="s">
        <v>35</v>
      </c>
      <c r="F29" s="38">
        <f>P40</f>
        <v>0</v>
      </c>
      <c r="G29" s="38" t="s">
        <v>35</v>
      </c>
      <c r="H29" s="38" t="s">
        <v>35</v>
      </c>
      <c r="I29" s="38" t="s">
        <v>35</v>
      </c>
      <c r="J29" s="6"/>
      <c r="K29" s="39"/>
      <c r="L29" s="6"/>
      <c r="M29" s="6"/>
      <c r="N29" s="6"/>
      <c r="O29" s="6"/>
      <c r="P29" s="6"/>
      <c r="Q29" s="6"/>
      <c r="R29" s="6"/>
      <c r="S29" s="6"/>
      <c r="T29" s="6"/>
      <c r="U29" s="16"/>
      <c r="V29" s="6"/>
      <c r="W29" s="6"/>
      <c r="X29" s="6"/>
    </row>
    <row r="30" spans="1:24" ht="15.75" customHeight="1">
      <c r="A30" s="6"/>
      <c r="B30" s="15"/>
      <c r="C30" s="40" t="s">
        <v>36</v>
      </c>
      <c r="D30" s="41" t="s">
        <v>35</v>
      </c>
      <c r="E30" s="41" t="s">
        <v>35</v>
      </c>
      <c r="F30" s="41">
        <f>P41</f>
        <v>0</v>
      </c>
      <c r="G30" s="41" t="s">
        <v>35</v>
      </c>
      <c r="H30" s="41" t="s">
        <v>35</v>
      </c>
      <c r="I30" s="41" t="s">
        <v>35</v>
      </c>
      <c r="J30" s="6"/>
      <c r="K30" s="34"/>
      <c r="L30" s="6"/>
      <c r="M30" s="6"/>
      <c r="N30" s="6"/>
      <c r="O30" s="6"/>
      <c r="P30" s="6"/>
      <c r="Q30" s="6"/>
      <c r="R30" s="6"/>
      <c r="S30" s="6"/>
      <c r="T30" s="6"/>
      <c r="U30" s="16"/>
      <c r="V30" s="6"/>
      <c r="W30" s="6"/>
      <c r="X30" s="6"/>
    </row>
    <row r="31" spans="1:24" ht="15.75" customHeight="1">
      <c r="A31" s="6"/>
      <c r="B31" s="15"/>
      <c r="C31" s="40" t="s">
        <v>37</v>
      </c>
      <c r="D31" s="41" t="s">
        <v>35</v>
      </c>
      <c r="E31" s="41" t="s">
        <v>35</v>
      </c>
      <c r="F31" s="41">
        <f>P42</f>
        <v>0</v>
      </c>
      <c r="G31" s="41" t="s">
        <v>35</v>
      </c>
      <c r="H31" s="41" t="s">
        <v>35</v>
      </c>
      <c r="I31" s="41" t="s">
        <v>35</v>
      </c>
      <c r="J31" s="6"/>
      <c r="K31" s="34"/>
      <c r="L31" s="6"/>
      <c r="M31" s="6"/>
      <c r="N31" s="6"/>
      <c r="O31" s="6"/>
      <c r="P31" s="6"/>
      <c r="Q31" s="6"/>
      <c r="R31" s="6"/>
      <c r="S31" s="6"/>
      <c r="T31" s="6"/>
      <c r="U31" s="16"/>
      <c r="V31" s="6"/>
      <c r="W31" s="6"/>
      <c r="X31" s="6"/>
    </row>
    <row r="32" spans="1:24" ht="15.75" customHeight="1">
      <c r="A32" s="6"/>
      <c r="B32" s="15"/>
      <c r="C32" s="42" t="s">
        <v>22</v>
      </c>
      <c r="D32" s="43">
        <f>SUM(D25:D28)</f>
        <v>17</v>
      </c>
      <c r="E32" s="43">
        <f>SUM(E25:E31)</f>
        <v>612945600</v>
      </c>
      <c r="F32" s="43">
        <f>SUM(F25:F31)</f>
        <v>50154600</v>
      </c>
      <c r="G32" s="43">
        <f>SUM(G25:G31)</f>
        <v>641933600</v>
      </c>
      <c r="H32" s="43">
        <f ca="1">SUM(H25:H31)</f>
        <v>0</v>
      </c>
      <c r="I32" s="43">
        <f>IF(F32&gt;0, (SUM(컨설팅!O:O)+SUM(S_N솔루션!N:N)+SUM(특허기술자문료!N:N)+SUM(자재판매!AJ:AJ))/1.1/F32, 0)</f>
        <v>0</v>
      </c>
      <c r="J32" s="6"/>
      <c r="K32" s="34"/>
      <c r="L32" s="6"/>
      <c r="M32" s="6"/>
      <c r="N32" s="6"/>
      <c r="O32" s="6"/>
      <c r="P32" s="6"/>
      <c r="Q32" s="6"/>
      <c r="R32" s="6"/>
      <c r="S32" s="6"/>
      <c r="T32" s="6"/>
      <c r="U32" s="16"/>
      <c r="V32" s="6"/>
      <c r="W32" s="6"/>
      <c r="X32" s="6"/>
    </row>
    <row r="33" spans="1:24" ht="7.5" customHeight="1">
      <c r="A33" s="6"/>
      <c r="B33" s="15"/>
      <c r="C33" s="18"/>
      <c r="E33" s="44"/>
      <c r="F33" s="44"/>
      <c r="G33" s="44"/>
      <c r="H33" s="44"/>
      <c r="I33" s="44"/>
      <c r="J33" s="44"/>
      <c r="K33" s="34"/>
      <c r="L33" s="6"/>
      <c r="M33" s="6"/>
      <c r="N33" s="6"/>
      <c r="O33" s="6"/>
      <c r="P33" s="6"/>
      <c r="Q33" s="6"/>
      <c r="R33" s="6"/>
      <c r="S33" s="6"/>
      <c r="T33" s="6"/>
      <c r="U33" s="16"/>
      <c r="V33" s="6"/>
      <c r="W33" s="6"/>
      <c r="X33" s="6"/>
    </row>
    <row r="34" spans="1:24" ht="19.5" customHeight="1">
      <c r="A34" s="6"/>
      <c r="B34" s="15"/>
      <c r="C34" s="27" t="s">
        <v>38</v>
      </c>
      <c r="E34" s="44"/>
      <c r="F34" s="44"/>
      <c r="G34" s="44"/>
      <c r="H34" s="44"/>
      <c r="I34" s="44"/>
      <c r="J34" s="39"/>
      <c r="K34" s="34"/>
      <c r="L34" s="6"/>
      <c r="M34" s="6"/>
      <c r="N34" s="6"/>
      <c r="O34" s="6"/>
      <c r="P34" s="6"/>
      <c r="Q34" s="6"/>
      <c r="R34" s="6"/>
      <c r="S34" s="6"/>
      <c r="T34" s="6"/>
      <c r="U34" s="16"/>
      <c r="V34" s="6"/>
      <c r="W34" s="6"/>
      <c r="X34" s="6"/>
    </row>
    <row r="35" spans="1:24" ht="18" customHeight="1">
      <c r="A35" s="6"/>
      <c r="B35" s="15"/>
      <c r="C35" s="28" t="s">
        <v>27</v>
      </c>
      <c r="D35" s="45" t="s">
        <v>10</v>
      </c>
      <c r="E35" s="45" t="s">
        <v>11</v>
      </c>
      <c r="F35" s="45" t="s">
        <v>12</v>
      </c>
      <c r="G35" s="45" t="s">
        <v>13</v>
      </c>
      <c r="H35" s="45" t="s">
        <v>14</v>
      </c>
      <c r="I35" s="45" t="s">
        <v>15</v>
      </c>
      <c r="J35" s="29" t="s">
        <v>16</v>
      </c>
      <c r="K35" s="46" t="s">
        <v>17</v>
      </c>
      <c r="L35" s="29" t="s">
        <v>18</v>
      </c>
      <c r="M35" s="29" t="s">
        <v>19</v>
      </c>
      <c r="N35" s="29" t="s">
        <v>20</v>
      </c>
      <c r="O35" s="29" t="s">
        <v>21</v>
      </c>
      <c r="P35" s="28" t="s">
        <v>22</v>
      </c>
      <c r="Q35" s="6"/>
      <c r="R35" s="6"/>
      <c r="S35" s="6"/>
      <c r="T35" s="6"/>
      <c r="U35" s="16"/>
      <c r="V35" s="6"/>
      <c r="W35" s="6"/>
      <c r="X35" s="6"/>
    </row>
    <row r="36" spans="1:24" ht="15.75" customHeight="1">
      <c r="A36" s="6"/>
      <c r="B36" s="15"/>
      <c r="C36" s="32" t="s">
        <v>30</v>
      </c>
      <c r="D36" s="33">
        <f>SUMIFS(컨설팅!H:H,컨설팅!L:L,"&gt;="&amp;DATE(2026,1,1),컨설팅!L:L,"&lt;="&amp;EOMONTH(DATE(2026,1,1),0))</f>
        <v>0</v>
      </c>
      <c r="E36" s="33">
        <f>SUMIFS(컨설팅!H:H,컨설팅!L:L,"&gt;="&amp;DATE(2026,2,1),컨설팅!L:L,"&lt;="&amp;EOMONTH(DATE(2026,2,1),0))</f>
        <v>0</v>
      </c>
      <c r="F36" s="33">
        <f>SUMIFS(컨설팅!H:H,컨설팅!L:L,"&gt;="&amp;DATE(2026,3,1),컨설팅!L:L,"&lt;="&amp;EOMONTH(DATE(2026,3,1),0))</f>
        <v>0</v>
      </c>
      <c r="G36" s="33">
        <f>SUMIFS(컨설팅!H:H,컨설팅!L:L,"&gt;="&amp;DATE(2026,4,1),컨설팅!L:L,"&lt;="&amp;EOMONTH(DATE(2026,4,1),0))</f>
        <v>0</v>
      </c>
      <c r="H36" s="33">
        <f>SUMIFS(컨설팅!H:H,컨설팅!L:L,"&gt;="&amp;DATE(2026,5,1),컨설팅!L:L,"&lt;="&amp;EOMONTH(DATE(2026,5,1),0))</f>
        <v>0</v>
      </c>
      <c r="I36" s="33">
        <f>SUMIFS(컨설팅!H:H,컨설팅!L:L,"&gt;="&amp;DATE(2026,6,1),컨설팅!L:L,"&lt;="&amp;EOMONTH(DATE(2026,6,1),0))</f>
        <v>0</v>
      </c>
      <c r="J36" s="33">
        <f>SUMIFS(컨설팅!H:H,컨설팅!L:L,"&gt;="&amp;DATE(2026,7,1),컨설팅!L:L,"&lt;="&amp;EOMONTH(DATE(2026,7,1),0))</f>
        <v>0</v>
      </c>
      <c r="K36" s="33">
        <f>SUMIFS(컨설팅!H:H,컨설팅!L:L,"&gt;="&amp;DATE(2026,8,1),컨설팅!L:L,"&lt;="&amp;EOMONTH(DATE(2026,8,1),0))</f>
        <v>0</v>
      </c>
      <c r="L36" s="33">
        <f>SUMIFS(컨설팅!H:H,컨설팅!L:L,"&gt;="&amp;DATE(2026,9,1),컨설팅!L:L,"&lt;="&amp;EOMONTH(DATE(2026,9,1),0))</f>
        <v>0</v>
      </c>
      <c r="M36" s="33">
        <f>SUMIFS(컨설팅!H:H,컨설팅!L:L,"&gt;="&amp;DATE(2026,10,1),컨설팅!L:L,"&lt;="&amp;EOMONTH(DATE(2026,10,1),0))</f>
        <v>0</v>
      </c>
      <c r="N36" s="33">
        <f>SUMIFS(컨설팅!H:H,컨설팅!L:L,"&gt;="&amp;DATE(2026,11,1),컨설팅!L:L,"&lt;="&amp;EOMONTH(DATE(2026,11,1),0))</f>
        <v>0</v>
      </c>
      <c r="O36" s="33">
        <f>SUMIFS(컨설팅!H:H,컨설팅!L:L,"&gt;="&amp;DATE(2026,12,1),컨설팅!L:L,"&lt;="&amp;EOMONTH(DATE(2026,12,1),0))</f>
        <v>0</v>
      </c>
      <c r="P36" s="33">
        <f t="shared" ref="P36:P42" si="0">SUM(D36:O36)</f>
        <v>0</v>
      </c>
      <c r="Q36" s="6"/>
      <c r="R36" s="6"/>
      <c r="S36" s="6"/>
      <c r="T36" s="6"/>
      <c r="U36" s="16"/>
      <c r="V36" s="6"/>
      <c r="W36" s="6"/>
      <c r="X36" s="6"/>
    </row>
    <row r="37" spans="1:24" ht="15.75" customHeight="1">
      <c r="A37" s="6"/>
      <c r="B37" s="15"/>
      <c r="C37" s="32" t="s">
        <v>31</v>
      </c>
      <c r="D37" s="33">
        <f>SUMIFS(S_N솔루션!H:H,S_N솔루션!K:K,"&gt;="&amp;DATE(2026,1,1),S_N솔루션!K:K,"&lt;="&amp;EOMONTH(DATE(2026,1,1),0))</f>
        <v>0</v>
      </c>
      <c r="E37" s="33">
        <f>SUMIFS(S_N솔루션!H:H,S_N솔루션!K:K,"&gt;="&amp;DATE(2026,2,1),S_N솔루션!K:K,"&lt;="&amp;EOMONTH(DATE(2026,2,1),0))</f>
        <v>0</v>
      </c>
      <c r="F37" s="33">
        <f>SUMIFS(S_N솔루션!H:H,S_N솔루션!K:K,"&gt;="&amp;DATE(2026,3,1),S_N솔루션!K:K,"&lt;="&amp;EOMONTH(DATE(2026,3,1),0))</f>
        <v>0</v>
      </c>
      <c r="G37" s="33">
        <f>SUMIFS(S_N솔루션!H:H,S_N솔루션!K:K,"&gt;="&amp;DATE(2026,4,1),S_N솔루션!K:K,"&lt;="&amp;EOMONTH(DATE(2026,4,1),0))</f>
        <v>0</v>
      </c>
      <c r="H37" s="33">
        <f>SUMIFS(S_N솔루션!H:H,S_N솔루션!K:K,"&gt;="&amp;DATE(2026,5,1),S_N솔루션!K:K,"&lt;="&amp;EOMONTH(DATE(2026,5,1),0))</f>
        <v>0</v>
      </c>
      <c r="I37" s="33">
        <f>SUMIFS(S_N솔루션!H:H,S_N솔루션!K:K,"&gt;="&amp;DATE(2026,6,1),S_N솔루션!K:K,"&lt;="&amp;EOMONTH(DATE(2026,6,1),0))</f>
        <v>0</v>
      </c>
      <c r="J37" s="33">
        <f>SUMIFS(S_N솔루션!H:H,S_N솔루션!K:K,"&gt;="&amp;DATE(2026,7,1),S_N솔루션!K:K,"&lt;="&amp;EOMONTH(DATE(2026,7,1),0))</f>
        <v>0</v>
      </c>
      <c r="K37" s="33">
        <f>SUMIFS(S_N솔루션!H:H,S_N솔루션!K:K,"&gt;="&amp;DATE(2026,8,1),S_N솔루션!K:K,"&lt;="&amp;EOMONTH(DATE(2026,8,1),0))</f>
        <v>0</v>
      </c>
      <c r="L37" s="33">
        <f>SUMIFS(S_N솔루션!H:H,S_N솔루션!K:K,"&gt;="&amp;DATE(2026,9,1),S_N솔루션!K:K,"&lt;="&amp;EOMONTH(DATE(2026,9,1),0))</f>
        <v>0</v>
      </c>
      <c r="M37" s="33">
        <f>SUMIFS(S_N솔루션!H:H,S_N솔루션!K:K,"&gt;="&amp;DATE(2026,10,1),S_N솔루션!K:K,"&lt;="&amp;EOMONTH(DATE(2026,10,1),0))</f>
        <v>0</v>
      </c>
      <c r="N37" s="33">
        <f>SUMIFS(S_N솔루션!H:H,S_N솔루션!K:K,"&gt;="&amp;DATE(2026,11,1),S_N솔루션!K:K,"&lt;="&amp;EOMONTH(DATE(2026,11,1),0))</f>
        <v>0</v>
      </c>
      <c r="O37" s="33">
        <f>SUMIFS(S_N솔루션!H:H,S_N솔루션!K:K,"&gt;="&amp;DATE(2026,12,1),S_N솔루션!K:K,"&lt;="&amp;EOMONTH(DATE(2026,12,1),0))</f>
        <v>0</v>
      </c>
      <c r="P37" s="33">
        <f t="shared" si="0"/>
        <v>0</v>
      </c>
      <c r="Q37" s="6"/>
      <c r="R37" s="6"/>
      <c r="S37" s="6"/>
      <c r="T37" s="6"/>
      <c r="U37" s="16"/>
      <c r="V37" s="6"/>
      <c r="W37" s="6"/>
      <c r="X37" s="6"/>
    </row>
    <row r="38" spans="1:24" ht="15.75" customHeight="1">
      <c r="A38" s="6"/>
      <c r="B38" s="15"/>
      <c r="C38" s="32" t="s">
        <v>32</v>
      </c>
      <c r="D38" s="33">
        <f>SUMIFS(특허기술자문료!I:I,특허기술자문료!K:K,"&gt;="&amp;DATE(2026,1,1),특허기술자문료!K:K,"&lt;="&amp;EOMONTH(DATE(2026,1,1),0))</f>
        <v>18115600</v>
      </c>
      <c r="E38" s="33">
        <f>SUMIFS(특허기술자문료!I:I,특허기술자문료!K:K,"&gt;="&amp;DATE(2026,2,1),특허기술자문료!K:K,"&lt;="&amp;EOMONTH(DATE(2026,2,1),0))</f>
        <v>0</v>
      </c>
      <c r="F38" s="33">
        <f>SUMIFS(특허기술자문료!I:I,특허기술자문료!K:K,"&gt;="&amp;DATE(2026,3,1),특허기술자문료!K:K,"&lt;="&amp;EOMONTH(DATE(2026,3,1),0))</f>
        <v>0</v>
      </c>
      <c r="G38" s="33">
        <f>SUMIFS(특허기술자문료!I:I,특허기술자문료!K:K,"&gt;="&amp;DATE(2026,4,1),특허기술자문료!K:K,"&lt;="&amp;EOMONTH(DATE(2026,4,1),0))</f>
        <v>0</v>
      </c>
      <c r="H38" s="33">
        <f>SUMIFS(특허기술자문료!I:I,특허기술자문료!K:K,"&gt;="&amp;DATE(2026,5,1),특허기술자문료!K:K,"&lt;="&amp;EOMONTH(DATE(2026,5,1),0))</f>
        <v>0</v>
      </c>
      <c r="I38" s="33">
        <f>SUMIFS(특허기술자문료!I:I,특허기술자문료!K:K,"&gt;="&amp;DATE(2026,6,1),특허기술자문료!K:K,"&lt;="&amp;EOMONTH(DATE(2026,6,1),0))</f>
        <v>0</v>
      </c>
      <c r="J38" s="33">
        <f>SUMIFS(특허기술자문료!I:I,특허기술자문료!K:K,"&gt;="&amp;DATE(2026,7,1),특허기술자문료!K:K,"&lt;="&amp;EOMONTH(DATE(2026,7,1),0))</f>
        <v>0</v>
      </c>
      <c r="K38" s="33">
        <f>SUMIFS(특허기술자문료!I:I,특허기술자문료!K:K,"&gt;="&amp;DATE(2026,8,1),특허기술자문료!K:K,"&lt;="&amp;EOMONTH(DATE(2026,8,1),0))</f>
        <v>0</v>
      </c>
      <c r="L38" s="33">
        <f>SUMIFS(특허기술자문료!I:I,특허기술자문료!K:K,"&gt;="&amp;DATE(2026,9,1),특허기술자문료!K:K,"&lt;="&amp;EOMONTH(DATE(2026,9,1),0))</f>
        <v>0</v>
      </c>
      <c r="M38" s="33">
        <f>SUMIFS(특허기술자문료!I:I,특허기술자문료!K:K,"&gt;="&amp;DATE(2026,10,1),특허기술자문료!K:K,"&lt;="&amp;EOMONTH(DATE(2026,10,1),0))</f>
        <v>0</v>
      </c>
      <c r="N38" s="33">
        <f>SUMIFS(특허기술자문료!I:I,특허기술자문료!K:K,"&gt;="&amp;DATE(2026,11,1),특허기술자문료!K:K,"&lt;="&amp;EOMONTH(DATE(2026,11,1),0))</f>
        <v>0</v>
      </c>
      <c r="O38" s="33">
        <f>SUMIFS(특허기술자문료!I:I,특허기술자문료!K:K,"&gt;="&amp;DATE(2026,12,1),특허기술자문료!K:K,"&lt;="&amp;EOMONTH(DATE(2026,12,1),0))</f>
        <v>0</v>
      </c>
      <c r="P38" s="33">
        <f t="shared" si="0"/>
        <v>18115600</v>
      </c>
      <c r="Q38" s="6"/>
      <c r="R38" s="6"/>
      <c r="S38" s="6"/>
      <c r="T38" s="6"/>
      <c r="U38" s="16"/>
      <c r="V38" s="6"/>
      <c r="W38" s="6"/>
      <c r="X38" s="6"/>
    </row>
    <row r="39" spans="1:24" ht="15.75" customHeight="1">
      <c r="A39" s="6"/>
      <c r="B39" s="15"/>
      <c r="C39" s="35" t="s">
        <v>33</v>
      </c>
      <c r="D39" s="47">
        <f>SUMPRODUCT((LEFT(자재판매!A2:A500,7)="2026-01")*(자재판매!P2:P500))</f>
        <v>32039000</v>
      </c>
      <c r="E39" s="47">
        <f>SUMPRODUCT((LEFT(자재판매!A2:A500,7)="2026-02")*(자재판매!P2:P500))</f>
        <v>0</v>
      </c>
      <c r="F39" s="47">
        <f>SUMPRODUCT((LEFT(자재판매!A2:A500,7)="2026-03")*(자재판매!P2:P500))</f>
        <v>0</v>
      </c>
      <c r="G39" s="47">
        <f>SUMPRODUCT((LEFT(자재판매!A2:A500,7)="2026-04")*(자재판매!P2:P500))</f>
        <v>0</v>
      </c>
      <c r="H39" s="47">
        <f>SUMPRODUCT((LEFT(자재판매!A2:A500,7)="2026-05")*(자재판매!P2:P500))</f>
        <v>0</v>
      </c>
      <c r="I39" s="47">
        <f>SUMPRODUCT((LEFT(자재판매!A2:A500,7)="2026-06")*(자재판매!P2:P500))</f>
        <v>0</v>
      </c>
      <c r="J39" s="47">
        <f>SUMPRODUCT((LEFT(자재판매!A2:A500,7)="2026-07")*(자재판매!P2:P500))</f>
        <v>0</v>
      </c>
      <c r="K39" s="47">
        <f>SUMPRODUCT((LEFT(자재판매!A2:A500,7)="2026-08")*(자재판매!P2:P500))</f>
        <v>0</v>
      </c>
      <c r="L39" s="47">
        <f>SUMPRODUCT((LEFT(자재판매!A2:A500,7)="2026-09")*(자재판매!P2:P500))</f>
        <v>0</v>
      </c>
      <c r="M39" s="47">
        <f>SUMPRODUCT((LEFT(자재판매!A2:A500,7)="2026-10")*(자재판매!P2:P500))</f>
        <v>0</v>
      </c>
      <c r="N39" s="47">
        <f>SUMPRODUCT((LEFT(자재판매!A2:A500,7)="2026-11")*(자재판매!P2:P500))</f>
        <v>0</v>
      </c>
      <c r="O39" s="47">
        <f>SUMPRODUCT((LEFT(자재판매!A2:A500,7)="2026-12")*(자재판매!P2:P500))</f>
        <v>0</v>
      </c>
      <c r="P39" s="47">
        <f t="shared" si="0"/>
        <v>32039000</v>
      </c>
      <c r="Q39" s="6"/>
      <c r="R39" s="6"/>
      <c r="S39" s="6"/>
      <c r="T39" s="6"/>
      <c r="U39" s="16"/>
      <c r="V39" s="6"/>
      <c r="W39" s="6"/>
      <c r="X39" s="6"/>
    </row>
    <row r="40" spans="1:24" ht="15.75" customHeight="1">
      <c r="A40" s="6"/>
      <c r="B40" s="15"/>
      <c r="C40" s="48" t="s">
        <v>34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>
        <f t="shared" si="0"/>
        <v>0</v>
      </c>
      <c r="Q40" s="6"/>
      <c r="R40" s="6"/>
      <c r="S40" s="6"/>
      <c r="T40" s="6"/>
      <c r="U40" s="16"/>
      <c r="V40" s="6"/>
      <c r="W40" s="6"/>
      <c r="X40" s="6"/>
    </row>
    <row r="41" spans="1:24" ht="15.75" customHeight="1">
      <c r="A41" s="6"/>
      <c r="B41" s="15"/>
      <c r="C41" s="49" t="s">
        <v>36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>
        <f t="shared" si="0"/>
        <v>0</v>
      </c>
      <c r="Q41" s="6"/>
      <c r="R41" s="6"/>
      <c r="S41" s="6"/>
      <c r="T41" s="6"/>
      <c r="U41" s="16"/>
      <c r="V41" s="6"/>
      <c r="W41" s="6"/>
      <c r="X41" s="6"/>
    </row>
    <row r="42" spans="1:24" ht="15.75" customHeight="1">
      <c r="A42" s="6"/>
      <c r="B42" s="15"/>
      <c r="C42" s="49" t="s">
        <v>37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>
        <f t="shared" si="0"/>
        <v>0</v>
      </c>
      <c r="Q42" s="6"/>
      <c r="R42" s="6"/>
      <c r="S42" s="6"/>
      <c r="T42" s="6"/>
      <c r="U42" s="16"/>
      <c r="V42" s="6"/>
      <c r="W42" s="6"/>
      <c r="X42" s="6"/>
    </row>
    <row r="43" spans="1:24" ht="15.75" customHeight="1">
      <c r="A43" s="6"/>
      <c r="B43" s="15"/>
      <c r="C43" s="42" t="s">
        <v>39</v>
      </c>
      <c r="D43" s="43">
        <f t="shared" ref="D43:P43" si="1">SUM(D36:D42)</f>
        <v>50154600</v>
      </c>
      <c r="E43" s="43">
        <f t="shared" si="1"/>
        <v>0</v>
      </c>
      <c r="F43" s="43">
        <f t="shared" si="1"/>
        <v>0</v>
      </c>
      <c r="G43" s="43">
        <f t="shared" si="1"/>
        <v>0</v>
      </c>
      <c r="H43" s="43">
        <f t="shared" si="1"/>
        <v>0</v>
      </c>
      <c r="I43" s="43">
        <f t="shared" si="1"/>
        <v>0</v>
      </c>
      <c r="J43" s="43">
        <f t="shared" si="1"/>
        <v>0</v>
      </c>
      <c r="K43" s="43">
        <f t="shared" si="1"/>
        <v>0</v>
      </c>
      <c r="L43" s="43">
        <f t="shared" si="1"/>
        <v>0</v>
      </c>
      <c r="M43" s="43">
        <f t="shared" si="1"/>
        <v>0</v>
      </c>
      <c r="N43" s="43">
        <f t="shared" si="1"/>
        <v>0</v>
      </c>
      <c r="O43" s="43">
        <f t="shared" si="1"/>
        <v>0</v>
      </c>
      <c r="P43" s="43">
        <f t="shared" si="1"/>
        <v>50154600</v>
      </c>
      <c r="Q43" s="6"/>
      <c r="R43" s="6"/>
      <c r="S43" s="6"/>
      <c r="T43" s="6"/>
      <c r="U43" s="16"/>
      <c r="V43" s="6"/>
      <c r="W43" s="6"/>
      <c r="X43" s="6"/>
    </row>
    <row r="44" spans="1:24" ht="13.5" customHeight="1">
      <c r="A44" s="6"/>
      <c r="B44" s="15"/>
      <c r="C44" s="6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6"/>
      <c r="R44" s="6"/>
      <c r="S44" s="6"/>
      <c r="T44" s="6"/>
      <c r="U44" s="16"/>
      <c r="V44" s="6"/>
      <c r="W44" s="6"/>
      <c r="X44" s="6"/>
    </row>
    <row r="45" spans="1:24" ht="13.5" customHeight="1">
      <c r="A45" s="6"/>
      <c r="B45" s="15"/>
      <c r="C45" s="6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50"/>
      <c r="R45" s="6"/>
      <c r="S45" s="6"/>
      <c r="T45" s="6"/>
      <c r="U45" s="16"/>
      <c r="V45" s="6"/>
      <c r="W45" s="6"/>
      <c r="X45" s="6"/>
    </row>
    <row r="46" spans="1:24" ht="13.5" customHeight="1">
      <c r="A46" s="6"/>
      <c r="B46" s="15"/>
      <c r="C46" s="6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50"/>
      <c r="R46" s="6"/>
      <c r="S46" s="6"/>
      <c r="T46" s="6"/>
      <c r="U46" s="16"/>
      <c r="V46" s="6"/>
      <c r="W46" s="6"/>
      <c r="X46" s="6"/>
    </row>
    <row r="47" spans="1:24" ht="13.5" customHeight="1">
      <c r="A47" s="6"/>
      <c r="B47" s="15"/>
      <c r="C47" s="6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50"/>
      <c r="R47" s="6"/>
      <c r="S47" s="6"/>
      <c r="T47" s="6"/>
      <c r="U47" s="16"/>
      <c r="V47" s="6"/>
      <c r="W47" s="6"/>
      <c r="X47" s="6"/>
    </row>
    <row r="48" spans="1:24" ht="14.25" customHeight="1">
      <c r="A48" s="6"/>
      <c r="B48" s="24"/>
      <c r="C48" s="25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25"/>
      <c r="S48" s="25"/>
      <c r="T48" s="25"/>
      <c r="U48" s="26"/>
      <c r="V48" s="6"/>
      <c r="W48" s="6"/>
      <c r="X48" s="6"/>
    </row>
    <row r="49" spans="1:24" ht="13.5" customHeight="1">
      <c r="A49" s="6"/>
      <c r="B49" s="6"/>
      <c r="C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3.5" customHeight="1">
      <c r="A50" s="6"/>
      <c r="B50" s="6"/>
      <c r="C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3.5" customHeight="1">
      <c r="A51" s="6"/>
      <c r="B51" s="6"/>
      <c r="C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3.5" customHeight="1">
      <c r="A52" s="6"/>
      <c r="B52" s="6"/>
      <c r="C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3.5" customHeight="1">
      <c r="A53" s="6"/>
      <c r="B53" s="6"/>
      <c r="C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3.5" customHeight="1">
      <c r="A54" s="6"/>
      <c r="B54" s="6"/>
      <c r="C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3.5" customHeight="1">
      <c r="A55" s="6"/>
      <c r="B55" s="6"/>
      <c r="C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3.5" customHeight="1">
      <c r="A56" s="6"/>
      <c r="B56" s="6"/>
      <c r="C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3.5" customHeight="1">
      <c r="A57" s="6"/>
      <c r="B57" s="6"/>
      <c r="C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3.5" customHeight="1">
      <c r="A58" s="6"/>
      <c r="B58" s="6"/>
      <c r="C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</sheetData>
  <mergeCells count="11">
    <mergeCell ref="C7:D7"/>
    <mergeCell ref="E7:F7"/>
    <mergeCell ref="G7:H7"/>
    <mergeCell ref="K7:L7"/>
    <mergeCell ref="M7:N7"/>
    <mergeCell ref="C2:T2"/>
    <mergeCell ref="C6:D6"/>
    <mergeCell ref="E6:F6"/>
    <mergeCell ref="G6:H6"/>
    <mergeCell ref="K6:L6"/>
    <mergeCell ref="M6:N6"/>
  </mergeCells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7"/>
  <sheetViews>
    <sheetView showGridLines="0" zoomScale="90" zoomScaleNormal="90" workbookViewId="0">
      <selection activeCell="S2" sqref="S2"/>
    </sheetView>
  </sheetViews>
  <sheetFormatPr defaultColWidth="8.5" defaultRowHeight="16.5"/>
  <cols>
    <col min="1" max="1" width="2.375" style="52" customWidth="1"/>
    <col min="2" max="3" width="9.625" style="52" customWidth="1"/>
    <col min="4" max="4" width="14.875" style="52" customWidth="1"/>
    <col min="5" max="5" width="29.25" style="52" customWidth="1"/>
    <col min="6" max="6" width="12.25" style="53" customWidth="1"/>
    <col min="7" max="7" width="12.5" style="54" customWidth="1"/>
    <col min="8" max="8" width="13.875" style="55" customWidth="1"/>
    <col min="9" max="9" width="13.125" style="52" customWidth="1"/>
    <col min="10" max="10" width="13.125" style="327" customWidth="1"/>
    <col min="11" max="11" width="13.125" style="56" customWidth="1"/>
    <col min="12" max="12" width="13.125" style="327" customWidth="1"/>
    <col min="13" max="13" width="13.125" style="52" customWidth="1"/>
    <col min="14" max="14" width="13.125" style="56" customWidth="1"/>
    <col min="15" max="16" width="13.125" style="52" customWidth="1"/>
    <col min="17" max="17" width="13.125" style="56" customWidth="1"/>
    <col min="18" max="19" width="14.625" style="57" customWidth="1"/>
    <col min="20" max="20" width="9.75" style="57" customWidth="1"/>
    <col min="21" max="22" width="9.375" style="52" customWidth="1"/>
    <col min="23" max="23" width="13.25" style="52" customWidth="1"/>
    <col min="24" max="24" width="7" style="5" customWidth="1"/>
    <col min="25" max="27" width="9.375" style="52" customWidth="1"/>
    <col min="28" max="28" width="10.625" style="52" customWidth="1"/>
    <col min="29" max="29" width="9.375" style="52" customWidth="1"/>
    <col min="30" max="30" width="10.5" style="52" customWidth="1"/>
    <col min="31" max="31" width="6.875" style="52" customWidth="1"/>
    <col min="32" max="35" width="13.375" style="52" customWidth="1"/>
    <col min="36" max="36" width="12.5" style="52" customWidth="1"/>
    <col min="37" max="37" width="13.5" style="52" customWidth="1"/>
    <col min="38" max="39" width="8.5" style="58"/>
    <col min="40" max="16384" width="8.5" style="59"/>
  </cols>
  <sheetData>
    <row r="1" spans="1:39" s="68" customFormat="1" ht="31.5" customHeight="1">
      <c r="A1" s="5"/>
      <c r="B1" s="60" t="s">
        <v>40</v>
      </c>
      <c r="C1" s="61" t="s">
        <v>27</v>
      </c>
      <c r="D1" s="61" t="s">
        <v>41</v>
      </c>
      <c r="E1" s="61" t="s">
        <v>42</v>
      </c>
      <c r="F1" s="61" t="s">
        <v>43</v>
      </c>
      <c r="G1" s="62" t="s">
        <v>44</v>
      </c>
      <c r="H1" s="63" t="s">
        <v>45</v>
      </c>
      <c r="I1" s="61" t="s">
        <v>46</v>
      </c>
      <c r="J1" s="322" t="s">
        <v>47</v>
      </c>
      <c r="K1" s="61" t="s">
        <v>48</v>
      </c>
      <c r="L1" s="322" t="s">
        <v>49</v>
      </c>
      <c r="M1" s="61" t="s">
        <v>50</v>
      </c>
      <c r="N1" s="64" t="s">
        <v>51</v>
      </c>
      <c r="O1" s="65" t="s">
        <v>52</v>
      </c>
      <c r="P1" s="66" t="s">
        <v>53</v>
      </c>
      <c r="Q1" s="64" t="s">
        <v>54</v>
      </c>
      <c r="R1" s="67" t="s">
        <v>55</v>
      </c>
      <c r="S1" s="67" t="s">
        <v>56</v>
      </c>
      <c r="U1" s="69" t="s">
        <v>57</v>
      </c>
      <c r="V1" s="70" t="s">
        <v>58</v>
      </c>
      <c r="W1" s="71" t="s">
        <v>59</v>
      </c>
      <c r="Y1" s="72" t="s">
        <v>60</v>
      </c>
      <c r="Z1" s="73" t="s">
        <v>61</v>
      </c>
      <c r="AA1" s="73" t="s">
        <v>62</v>
      </c>
      <c r="AB1" s="73" t="s">
        <v>63</v>
      </c>
      <c r="AC1" s="73" t="s">
        <v>64</v>
      </c>
      <c r="AD1" s="74" t="s">
        <v>65</v>
      </c>
      <c r="AF1" s="72" t="s">
        <v>66</v>
      </c>
      <c r="AG1" s="73" t="s">
        <v>67</v>
      </c>
      <c r="AH1" s="73" t="s">
        <v>68</v>
      </c>
      <c r="AI1" s="75" t="s">
        <v>69</v>
      </c>
      <c r="AJ1" s="73" t="s">
        <v>70</v>
      </c>
      <c r="AK1" s="74" t="s">
        <v>68</v>
      </c>
    </row>
    <row r="2" spans="1:39" s="93" customFormat="1" ht="13.5" customHeight="1">
      <c r="A2" s="76"/>
      <c r="B2" s="77">
        <v>1</v>
      </c>
      <c r="C2" s="78" t="s">
        <v>71</v>
      </c>
      <c r="D2" s="78" t="s">
        <v>72</v>
      </c>
      <c r="E2" s="79" t="s">
        <v>73</v>
      </c>
      <c r="F2" s="80">
        <v>83900000</v>
      </c>
      <c r="G2" s="80">
        <v>59740000</v>
      </c>
      <c r="H2" s="81">
        <f>G2*20%</f>
        <v>11948000</v>
      </c>
      <c r="I2" s="82" t="s">
        <v>74</v>
      </c>
      <c r="J2" s="323">
        <v>45992</v>
      </c>
      <c r="K2" s="83"/>
      <c r="L2" s="323"/>
      <c r="M2" s="84"/>
      <c r="N2" s="83"/>
      <c r="O2" s="85"/>
      <c r="P2" s="85">
        <f t="shared" ref="P2:P25" si="0">(H2*1.1)-O2</f>
        <v>13142800.000000002</v>
      </c>
      <c r="Q2" s="83"/>
      <c r="R2" s="86" t="str">
        <f>IF(AND(J2="잔금", N2&lt;&gt;"", Q2&lt;&gt;""), N2-Q2, "-")</f>
        <v>-</v>
      </c>
      <c r="S2" s="86" t="str">
        <f t="shared" ref="S2:S33" ca="1" si="1">IF(AND(P2&lt;&gt;"",P2&gt;0,N2="",L2&lt;&gt;""),IF(I2="선금",IF(TODAY()&gt;L2+20,"확인요망","-"),IF(TODAY()&gt;L2+30,"확인요망","-")),"-")</f>
        <v>-</v>
      </c>
      <c r="T2" s="68"/>
      <c r="U2" s="87"/>
      <c r="V2" s="88">
        <v>10000</v>
      </c>
      <c r="W2" s="89">
        <v>24160000</v>
      </c>
      <c r="X2" s="68"/>
      <c r="Y2" s="87"/>
      <c r="Z2" s="88"/>
      <c r="AA2" s="88"/>
      <c r="AB2" s="88"/>
      <c r="AC2" s="88"/>
      <c r="AD2" s="89">
        <f>SUM(Y2:AC2)</f>
        <v>0</v>
      </c>
      <c r="AE2" s="68"/>
      <c r="AF2" s="87">
        <v>0</v>
      </c>
      <c r="AG2" s="88">
        <f>G2-AF2</f>
        <v>59740000</v>
      </c>
      <c r="AH2" s="90">
        <f>AG2/F2</f>
        <v>0.71203814064362336</v>
      </c>
      <c r="AI2" s="91">
        <v>0</v>
      </c>
      <c r="AJ2" s="88">
        <f>G2-AI2</f>
        <v>59740000</v>
      </c>
      <c r="AK2" s="92">
        <f>AJ2/F2</f>
        <v>0.71203814064362336</v>
      </c>
      <c r="AL2" s="68"/>
      <c r="AM2" s="68"/>
    </row>
    <row r="3" spans="1:39" s="108" customFormat="1" ht="13.5" customHeight="1">
      <c r="A3" s="5"/>
      <c r="B3" s="94">
        <f t="shared" ref="B3:B25" si="2">IF(I2="잔금", B2+1, B2)</f>
        <v>1</v>
      </c>
      <c r="C3" s="95" t="s">
        <v>71</v>
      </c>
      <c r="D3" s="78" t="str">
        <f>D2</f>
        <v>에이치제이건설</v>
      </c>
      <c r="E3" s="78" t="str">
        <f>E2</f>
        <v>해운대 센텀트루엘</v>
      </c>
      <c r="F3" s="96"/>
      <c r="G3" s="96"/>
      <c r="H3" s="81">
        <f>G2*40%</f>
        <v>23896000</v>
      </c>
      <c r="I3" s="97" t="s">
        <v>75</v>
      </c>
      <c r="J3" s="324">
        <f>J2</f>
        <v>45992</v>
      </c>
      <c r="K3" s="98"/>
      <c r="L3" s="325"/>
      <c r="M3" s="99" t="str">
        <f>IF(L3&lt;&gt;"", L3+30, "")</f>
        <v/>
      </c>
      <c r="N3" s="98"/>
      <c r="O3" s="100"/>
      <c r="P3" s="101">
        <f t="shared" si="0"/>
        <v>26285600.000000004</v>
      </c>
      <c r="Q3" s="98"/>
      <c r="R3" s="102" t="str">
        <f t="shared" ref="R3:R25" si="3">IF(AND(I3="잔금", N3&lt;&gt;"", Q3&lt;&gt;""), N3-Q3, "-")</f>
        <v>-</v>
      </c>
      <c r="S3" s="102" t="str">
        <f t="shared" ca="1" si="1"/>
        <v>-</v>
      </c>
      <c r="T3" s="68"/>
      <c r="U3" s="103"/>
      <c r="V3" s="104"/>
      <c r="W3" s="105"/>
      <c r="X3" s="68"/>
      <c r="Y3" s="106"/>
      <c r="Z3" s="104"/>
      <c r="AA3" s="104"/>
      <c r="AB3" s="104"/>
      <c r="AC3" s="104"/>
      <c r="AD3" s="105"/>
      <c r="AE3" s="68"/>
      <c r="AF3" s="106"/>
      <c r="AG3" s="104"/>
      <c r="AH3" s="104"/>
      <c r="AI3" s="107"/>
      <c r="AJ3" s="104"/>
      <c r="AK3" s="105"/>
      <c r="AL3" s="68"/>
      <c r="AM3" s="68"/>
    </row>
    <row r="4" spans="1:39" s="108" customFormat="1" ht="13.5" customHeight="1">
      <c r="A4" s="5"/>
      <c r="B4" s="94">
        <f t="shared" si="2"/>
        <v>1</v>
      </c>
      <c r="C4" s="109" t="s">
        <v>71</v>
      </c>
      <c r="D4" s="110" t="str">
        <f>D3</f>
        <v>에이치제이건설</v>
      </c>
      <c r="E4" s="110" t="str">
        <f>E3</f>
        <v>해운대 센텀트루엘</v>
      </c>
      <c r="F4" s="96"/>
      <c r="G4" s="96">
        <f>-AD2</f>
        <v>0</v>
      </c>
      <c r="H4" s="81">
        <f>(G2*40%)-AD2</f>
        <v>23896000</v>
      </c>
      <c r="I4" s="97" t="s">
        <v>76</v>
      </c>
      <c r="J4" s="324">
        <f>J3</f>
        <v>45992</v>
      </c>
      <c r="K4" s="98"/>
      <c r="L4" s="325"/>
      <c r="M4" s="99" t="str">
        <f>IF(L4&lt;&gt;"", L4+30, "")</f>
        <v/>
      </c>
      <c r="N4" s="111"/>
      <c r="O4" s="112"/>
      <c r="P4" s="101">
        <f t="shared" si="0"/>
        <v>26285600.000000004</v>
      </c>
      <c r="Q4" s="111"/>
      <c r="R4" s="102" t="str">
        <f t="shared" si="3"/>
        <v>-</v>
      </c>
      <c r="S4" s="102" t="str">
        <f t="shared" ca="1" si="1"/>
        <v>-</v>
      </c>
      <c r="T4" s="68"/>
      <c r="U4" s="103"/>
      <c r="V4" s="104"/>
      <c r="W4" s="105"/>
      <c r="X4" s="68"/>
      <c r="Y4" s="106"/>
      <c r="Z4" s="104"/>
      <c r="AA4" s="104"/>
      <c r="AB4" s="104"/>
      <c r="AC4" s="104"/>
      <c r="AD4" s="105"/>
      <c r="AE4" s="68"/>
      <c r="AF4" s="106"/>
      <c r="AG4" s="104"/>
      <c r="AH4" s="104"/>
      <c r="AI4" s="107"/>
      <c r="AJ4" s="104"/>
      <c r="AK4" s="105"/>
      <c r="AL4" s="68"/>
      <c r="AM4" s="68"/>
    </row>
    <row r="5" spans="1:39" s="108" customFormat="1" ht="13.5" customHeight="1">
      <c r="A5" s="5"/>
      <c r="B5" s="94">
        <f t="shared" si="2"/>
        <v>2</v>
      </c>
      <c r="C5" s="78" t="s">
        <v>71</v>
      </c>
      <c r="D5" s="78" t="s">
        <v>77</v>
      </c>
      <c r="E5" s="79" t="s">
        <v>78</v>
      </c>
      <c r="F5" s="80">
        <v>30420000</v>
      </c>
      <c r="G5" s="80">
        <v>23001000</v>
      </c>
      <c r="H5" s="81">
        <f>G5*20%</f>
        <v>4600200</v>
      </c>
      <c r="I5" s="97" t="s">
        <v>74</v>
      </c>
      <c r="J5" s="323">
        <v>45999</v>
      </c>
      <c r="K5" s="83"/>
      <c r="L5" s="323"/>
      <c r="M5" s="84"/>
      <c r="N5" s="98"/>
      <c r="O5" s="112"/>
      <c r="P5" s="101">
        <f t="shared" si="0"/>
        <v>5060220</v>
      </c>
      <c r="Q5" s="98"/>
      <c r="R5" s="102" t="str">
        <f t="shared" si="3"/>
        <v>-</v>
      </c>
      <c r="S5" s="102" t="str">
        <f t="shared" ca="1" si="1"/>
        <v>-</v>
      </c>
      <c r="T5" s="68"/>
      <c r="U5" s="103"/>
      <c r="V5" s="104"/>
      <c r="W5" s="105">
        <v>7419000</v>
      </c>
      <c r="X5" s="68"/>
      <c r="Y5" s="106"/>
      <c r="Z5" s="104"/>
      <c r="AA5" s="104"/>
      <c r="AB5" s="104"/>
      <c r="AC5" s="104"/>
      <c r="AD5" s="105"/>
      <c r="AE5" s="68"/>
      <c r="AF5" s="106"/>
      <c r="AG5" s="104"/>
      <c r="AH5" s="104"/>
      <c r="AI5" s="107"/>
      <c r="AJ5" s="104"/>
      <c r="AK5" s="105"/>
      <c r="AL5" s="68"/>
      <c r="AM5" s="68"/>
    </row>
    <row r="6" spans="1:39" s="108" customFormat="1" ht="13.5" customHeight="1">
      <c r="A6" s="5"/>
      <c r="B6" s="94">
        <f t="shared" si="2"/>
        <v>2</v>
      </c>
      <c r="C6" s="95" t="s">
        <v>71</v>
      </c>
      <c r="D6" s="78" t="str">
        <f>D5</f>
        <v>여름건설</v>
      </c>
      <c r="E6" s="78" t="str">
        <f>E5</f>
        <v>자양10차현대홈타운</v>
      </c>
      <c r="F6" s="96"/>
      <c r="G6" s="96"/>
      <c r="H6" s="81">
        <f>G5*40%</f>
        <v>9200400</v>
      </c>
      <c r="I6" s="97" t="s">
        <v>75</v>
      </c>
      <c r="J6" s="325">
        <f>J5</f>
        <v>45999</v>
      </c>
      <c r="K6" s="98"/>
      <c r="L6" s="325"/>
      <c r="M6" s="99" t="str">
        <f t="shared" ref="M6:M37" si="4">IF(L6&lt;&gt;"", L6+30, "")</f>
        <v/>
      </c>
      <c r="N6" s="98"/>
      <c r="O6" s="112"/>
      <c r="P6" s="101">
        <f t="shared" si="0"/>
        <v>10120440</v>
      </c>
      <c r="Q6" s="98"/>
      <c r="R6" s="102" t="str">
        <f t="shared" si="3"/>
        <v>-</v>
      </c>
      <c r="S6" s="102" t="str">
        <f t="shared" ca="1" si="1"/>
        <v>-</v>
      </c>
      <c r="T6" s="68"/>
      <c r="U6" s="106"/>
      <c r="V6" s="104"/>
      <c r="W6" s="105"/>
      <c r="X6" s="68"/>
      <c r="Y6" s="106"/>
      <c r="Z6" s="104"/>
      <c r="AA6" s="104"/>
      <c r="AB6" s="104"/>
      <c r="AC6" s="104"/>
      <c r="AD6" s="105"/>
      <c r="AE6" s="68"/>
      <c r="AF6" s="106"/>
      <c r="AG6" s="104"/>
      <c r="AH6" s="104"/>
      <c r="AI6" s="107"/>
      <c r="AJ6" s="104"/>
      <c r="AK6" s="105"/>
      <c r="AL6" s="68"/>
      <c r="AM6" s="68"/>
    </row>
    <row r="7" spans="1:39" s="108" customFormat="1" ht="13.5" customHeight="1">
      <c r="A7" s="5"/>
      <c r="B7" s="94">
        <f t="shared" si="2"/>
        <v>2</v>
      </c>
      <c r="C7" s="95" t="s">
        <v>71</v>
      </c>
      <c r="D7" s="78" t="str">
        <f>D6</f>
        <v>여름건설</v>
      </c>
      <c r="E7" s="78" t="str">
        <f>E6</f>
        <v>자양10차현대홈타운</v>
      </c>
      <c r="F7" s="96"/>
      <c r="G7" s="96"/>
      <c r="H7" s="81">
        <f>(G5*40%)-AD5</f>
        <v>9200400</v>
      </c>
      <c r="I7" s="97" t="s">
        <v>76</v>
      </c>
      <c r="J7" s="325">
        <f>J6</f>
        <v>45999</v>
      </c>
      <c r="K7" s="98"/>
      <c r="L7" s="325"/>
      <c r="M7" s="99" t="str">
        <f t="shared" si="4"/>
        <v/>
      </c>
      <c r="N7" s="98"/>
      <c r="O7" s="112"/>
      <c r="P7" s="101">
        <f t="shared" si="0"/>
        <v>10120440</v>
      </c>
      <c r="Q7" s="98"/>
      <c r="R7" s="102" t="str">
        <f t="shared" si="3"/>
        <v>-</v>
      </c>
      <c r="S7" s="102" t="str">
        <f t="shared" ca="1" si="1"/>
        <v>-</v>
      </c>
      <c r="T7" s="68"/>
      <c r="U7" s="106"/>
      <c r="V7" s="104"/>
      <c r="W7" s="105"/>
      <c r="X7" s="68"/>
      <c r="Y7" s="106"/>
      <c r="Z7" s="104"/>
      <c r="AA7" s="104"/>
      <c r="AB7" s="104"/>
      <c r="AC7" s="104"/>
      <c r="AD7" s="105"/>
      <c r="AE7" s="68"/>
      <c r="AF7" s="106"/>
      <c r="AG7" s="104"/>
      <c r="AH7" s="104"/>
      <c r="AI7" s="107"/>
      <c r="AJ7" s="104"/>
      <c r="AK7" s="105"/>
      <c r="AL7" s="68"/>
      <c r="AM7" s="68"/>
    </row>
    <row r="8" spans="1:39" s="108" customFormat="1" ht="13.5" customHeight="1">
      <c r="A8" s="5"/>
      <c r="B8" s="94">
        <f t="shared" si="2"/>
        <v>3</v>
      </c>
      <c r="C8" s="78" t="s">
        <v>71</v>
      </c>
      <c r="D8" s="78" t="s">
        <v>77</v>
      </c>
      <c r="E8" s="78" t="s">
        <v>79</v>
      </c>
      <c r="F8" s="80">
        <v>39060000</v>
      </c>
      <c r="G8" s="80">
        <v>30580000</v>
      </c>
      <c r="H8" s="81">
        <f>G8*20%</f>
        <v>6116000</v>
      </c>
      <c r="I8" s="97" t="s">
        <v>74</v>
      </c>
      <c r="J8" s="323">
        <v>45999</v>
      </c>
      <c r="K8" s="83"/>
      <c r="L8" s="323"/>
      <c r="M8" s="99" t="str">
        <f t="shared" si="4"/>
        <v/>
      </c>
      <c r="N8" s="98"/>
      <c r="O8" s="112"/>
      <c r="P8" s="101">
        <f t="shared" si="0"/>
        <v>6727600.0000000009</v>
      </c>
      <c r="Q8" s="98"/>
      <c r="R8" s="102" t="str">
        <f t="shared" si="3"/>
        <v>-</v>
      </c>
      <c r="S8" s="102" t="str">
        <f t="shared" ca="1" si="1"/>
        <v>-</v>
      </c>
      <c r="T8" s="68"/>
      <c r="U8" s="103"/>
      <c r="V8" s="104"/>
      <c r="W8" s="105">
        <v>8480000</v>
      </c>
      <c r="X8" s="68"/>
      <c r="Y8" s="106"/>
      <c r="Z8" s="104"/>
      <c r="AA8" s="104"/>
      <c r="AB8" s="104"/>
      <c r="AC8" s="104"/>
      <c r="AD8" s="105"/>
      <c r="AE8" s="68"/>
      <c r="AF8" s="106"/>
      <c r="AG8" s="104"/>
      <c r="AH8" s="104"/>
      <c r="AI8" s="107"/>
      <c r="AJ8" s="104"/>
      <c r="AK8" s="105"/>
      <c r="AL8" s="68"/>
      <c r="AM8" s="68"/>
    </row>
    <row r="9" spans="1:39" s="108" customFormat="1" ht="13.5" customHeight="1">
      <c r="A9" s="5"/>
      <c r="B9" s="94">
        <f t="shared" si="2"/>
        <v>3</v>
      </c>
      <c r="C9" s="95" t="s">
        <v>71</v>
      </c>
      <c r="D9" s="78" t="str">
        <f>D8</f>
        <v>여름건설</v>
      </c>
      <c r="E9" s="78" t="str">
        <f>E8</f>
        <v>광덕파크빌</v>
      </c>
      <c r="F9" s="96"/>
      <c r="G9" s="96"/>
      <c r="H9" s="81">
        <f>G8*40%</f>
        <v>12232000</v>
      </c>
      <c r="I9" s="97" t="s">
        <v>75</v>
      </c>
      <c r="J9" s="325">
        <f>J8</f>
        <v>45999</v>
      </c>
      <c r="K9" s="98"/>
      <c r="L9" s="325"/>
      <c r="M9" s="99" t="str">
        <f t="shared" si="4"/>
        <v/>
      </c>
      <c r="N9" s="98"/>
      <c r="O9" s="112"/>
      <c r="P9" s="101">
        <f t="shared" si="0"/>
        <v>13455200.000000002</v>
      </c>
      <c r="Q9" s="98"/>
      <c r="R9" s="102" t="str">
        <f t="shared" si="3"/>
        <v>-</v>
      </c>
      <c r="S9" s="102" t="str">
        <f t="shared" ca="1" si="1"/>
        <v>-</v>
      </c>
      <c r="T9" s="68"/>
      <c r="U9" s="106"/>
      <c r="V9" s="104"/>
      <c r="W9" s="105"/>
      <c r="X9" s="68"/>
      <c r="Y9" s="106"/>
      <c r="Z9" s="104"/>
      <c r="AA9" s="104"/>
      <c r="AB9" s="104"/>
      <c r="AC9" s="104"/>
      <c r="AD9" s="105"/>
      <c r="AE9" s="68"/>
      <c r="AF9" s="106"/>
      <c r="AG9" s="104"/>
      <c r="AH9" s="104"/>
      <c r="AI9" s="107"/>
      <c r="AJ9" s="104"/>
      <c r="AK9" s="105"/>
      <c r="AL9" s="68"/>
      <c r="AM9" s="68"/>
    </row>
    <row r="10" spans="1:39" s="108" customFormat="1" ht="13.5" customHeight="1">
      <c r="A10" s="5"/>
      <c r="B10" s="94">
        <f t="shared" si="2"/>
        <v>3</v>
      </c>
      <c r="C10" s="95" t="s">
        <v>71</v>
      </c>
      <c r="D10" s="78" t="str">
        <f>D9</f>
        <v>여름건설</v>
      </c>
      <c r="E10" s="78" t="str">
        <f>E9</f>
        <v>광덕파크빌</v>
      </c>
      <c r="F10" s="96"/>
      <c r="G10" s="96"/>
      <c r="H10" s="81">
        <f>(G8*40%)-AD8</f>
        <v>12232000</v>
      </c>
      <c r="I10" s="97" t="s">
        <v>76</v>
      </c>
      <c r="J10" s="325">
        <f>J9</f>
        <v>45999</v>
      </c>
      <c r="K10" s="98"/>
      <c r="L10" s="325"/>
      <c r="M10" s="99" t="str">
        <f t="shared" si="4"/>
        <v/>
      </c>
      <c r="N10" s="98"/>
      <c r="O10" s="112"/>
      <c r="P10" s="101">
        <f t="shared" si="0"/>
        <v>13455200.000000002</v>
      </c>
      <c r="Q10" s="98"/>
      <c r="R10" s="102" t="str">
        <f t="shared" si="3"/>
        <v>-</v>
      </c>
      <c r="S10" s="102" t="str">
        <f t="shared" ca="1" si="1"/>
        <v>-</v>
      </c>
      <c r="T10" s="68"/>
      <c r="U10" s="106"/>
      <c r="V10" s="104"/>
      <c r="W10" s="105"/>
      <c r="X10" s="68"/>
      <c r="Y10" s="106"/>
      <c r="Z10" s="104"/>
      <c r="AA10" s="104"/>
      <c r="AB10" s="104"/>
      <c r="AC10" s="104"/>
      <c r="AD10" s="105"/>
      <c r="AE10" s="68"/>
      <c r="AF10" s="106"/>
      <c r="AG10" s="104"/>
      <c r="AH10" s="104"/>
      <c r="AI10" s="107"/>
      <c r="AJ10" s="104"/>
      <c r="AK10" s="105"/>
      <c r="AL10" s="68"/>
      <c r="AM10" s="68"/>
    </row>
    <row r="11" spans="1:39" s="108" customFormat="1" ht="13.5" customHeight="1">
      <c r="A11" s="5"/>
      <c r="B11" s="94">
        <f t="shared" si="2"/>
        <v>4</v>
      </c>
      <c r="C11" s="78" t="s">
        <v>71</v>
      </c>
      <c r="D11" s="78" t="s">
        <v>80</v>
      </c>
      <c r="E11" s="78" t="s">
        <v>81</v>
      </c>
      <c r="F11" s="80">
        <v>202900000</v>
      </c>
      <c r="G11" s="80">
        <f>F11-AO11</f>
        <v>202900000</v>
      </c>
      <c r="H11" s="81">
        <f>G11*20%</f>
        <v>40580000</v>
      </c>
      <c r="I11" s="97" t="s">
        <v>74</v>
      </c>
      <c r="J11" s="323">
        <v>45999</v>
      </c>
      <c r="K11" s="83"/>
      <c r="L11" s="323"/>
      <c r="M11" s="99" t="str">
        <f t="shared" si="4"/>
        <v/>
      </c>
      <c r="N11" s="98"/>
      <c r="O11" s="112"/>
      <c r="P11" s="101">
        <f t="shared" si="0"/>
        <v>44638000</v>
      </c>
      <c r="Q11" s="98"/>
      <c r="R11" s="102" t="str">
        <f t="shared" si="3"/>
        <v>-</v>
      </c>
      <c r="S11" s="102" t="str">
        <f t="shared" ca="1" si="1"/>
        <v>-</v>
      </c>
      <c r="T11" s="68"/>
      <c r="U11" s="106"/>
      <c r="V11" s="104"/>
      <c r="W11" s="105">
        <v>63670000</v>
      </c>
      <c r="X11" s="68"/>
      <c r="Y11" s="106"/>
      <c r="Z11" s="104"/>
      <c r="AA11" s="104"/>
      <c r="AB11" s="104"/>
      <c r="AC11" s="104"/>
      <c r="AD11" s="105"/>
      <c r="AE11" s="68"/>
      <c r="AF11" s="106"/>
      <c r="AG11" s="104"/>
      <c r="AH11" s="104"/>
      <c r="AI11" s="107"/>
      <c r="AJ11" s="104"/>
      <c r="AK11" s="105"/>
      <c r="AL11" s="68"/>
      <c r="AM11" s="68"/>
    </row>
    <row r="12" spans="1:39" s="108" customFormat="1" ht="13.5" customHeight="1">
      <c r="A12" s="5"/>
      <c r="B12" s="94">
        <f t="shared" si="2"/>
        <v>4</v>
      </c>
      <c r="C12" s="95" t="s">
        <v>71</v>
      </c>
      <c r="D12" s="78" t="str">
        <f>D11</f>
        <v>기림이앤씨</v>
      </c>
      <c r="E12" s="78" t="str">
        <f>E11</f>
        <v>해누리선경</v>
      </c>
      <c r="F12" s="96"/>
      <c r="G12" s="96"/>
      <c r="H12" s="81">
        <f>G11*40%</f>
        <v>81160000</v>
      </c>
      <c r="I12" s="97" t="s">
        <v>75</v>
      </c>
      <c r="J12" s="325">
        <f>J11</f>
        <v>45999</v>
      </c>
      <c r="K12" s="98"/>
      <c r="L12" s="325"/>
      <c r="M12" s="99" t="str">
        <f t="shared" si="4"/>
        <v/>
      </c>
      <c r="N12" s="98"/>
      <c r="O12" s="112"/>
      <c r="P12" s="101">
        <f t="shared" si="0"/>
        <v>89276000</v>
      </c>
      <c r="Q12" s="98"/>
      <c r="R12" s="102" t="str">
        <f t="shared" si="3"/>
        <v>-</v>
      </c>
      <c r="S12" s="102" t="str">
        <f t="shared" ca="1" si="1"/>
        <v>-</v>
      </c>
      <c r="T12" s="68"/>
      <c r="U12" s="106"/>
      <c r="V12" s="104"/>
      <c r="W12" s="105"/>
      <c r="X12" s="68"/>
      <c r="Y12" s="106"/>
      <c r="Z12" s="104"/>
      <c r="AA12" s="104"/>
      <c r="AB12" s="104"/>
      <c r="AC12" s="104"/>
      <c r="AD12" s="105"/>
      <c r="AE12" s="68"/>
      <c r="AF12" s="106"/>
      <c r="AG12" s="104"/>
      <c r="AH12" s="104"/>
      <c r="AI12" s="107"/>
      <c r="AJ12" s="104"/>
      <c r="AK12" s="105"/>
      <c r="AL12" s="68"/>
      <c r="AM12" s="68"/>
    </row>
    <row r="13" spans="1:39" s="108" customFormat="1" ht="13.5" customHeight="1">
      <c r="A13" s="5"/>
      <c r="B13" s="94">
        <f t="shared" si="2"/>
        <v>4</v>
      </c>
      <c r="C13" s="95" t="s">
        <v>71</v>
      </c>
      <c r="D13" s="78" t="str">
        <f>D12</f>
        <v>기림이앤씨</v>
      </c>
      <c r="E13" s="78" t="str">
        <f>E12</f>
        <v>해누리선경</v>
      </c>
      <c r="F13" s="96"/>
      <c r="G13" s="96"/>
      <c r="H13" s="81">
        <f>(G11*40%)-AD11</f>
        <v>81160000</v>
      </c>
      <c r="I13" s="97" t="s">
        <v>76</v>
      </c>
      <c r="J13" s="325">
        <f>J12</f>
        <v>45999</v>
      </c>
      <c r="K13" s="98"/>
      <c r="L13" s="325"/>
      <c r="M13" s="99" t="str">
        <f t="shared" si="4"/>
        <v/>
      </c>
      <c r="N13" s="98"/>
      <c r="O13" s="112"/>
      <c r="P13" s="101">
        <f t="shared" si="0"/>
        <v>89276000</v>
      </c>
      <c r="Q13" s="98"/>
      <c r="R13" s="102" t="str">
        <f t="shared" si="3"/>
        <v>-</v>
      </c>
      <c r="S13" s="102" t="str">
        <f t="shared" ca="1" si="1"/>
        <v>-</v>
      </c>
      <c r="T13" s="68"/>
      <c r="U13" s="106"/>
      <c r="V13" s="104"/>
      <c r="W13" s="105"/>
      <c r="X13" s="68"/>
      <c r="Y13" s="106"/>
      <c r="Z13" s="104"/>
      <c r="AA13" s="104"/>
      <c r="AB13" s="104"/>
      <c r="AC13" s="104"/>
      <c r="AD13" s="105"/>
      <c r="AE13" s="68"/>
      <c r="AF13" s="106"/>
      <c r="AG13" s="104"/>
      <c r="AH13" s="104"/>
      <c r="AI13" s="107"/>
      <c r="AJ13" s="104"/>
      <c r="AK13" s="105"/>
      <c r="AL13" s="68"/>
      <c r="AM13" s="68"/>
    </row>
    <row r="14" spans="1:39" s="108" customFormat="1" ht="13.5" customHeight="1">
      <c r="A14" s="5"/>
      <c r="B14" s="94">
        <f t="shared" si="2"/>
        <v>5</v>
      </c>
      <c r="C14" s="78" t="s">
        <v>71</v>
      </c>
      <c r="D14" s="78" t="s">
        <v>80</v>
      </c>
      <c r="E14" s="79" t="s">
        <v>82</v>
      </c>
      <c r="F14" s="80">
        <v>118400000</v>
      </c>
      <c r="G14" s="80">
        <v>92300000</v>
      </c>
      <c r="H14" s="81">
        <f>G14*20%</f>
        <v>18460000</v>
      </c>
      <c r="I14" s="97" t="s">
        <v>74</v>
      </c>
      <c r="J14" s="323">
        <v>45999</v>
      </c>
      <c r="K14" s="83"/>
      <c r="L14" s="323"/>
      <c r="M14" s="99" t="str">
        <f t="shared" si="4"/>
        <v/>
      </c>
      <c r="N14" s="98"/>
      <c r="O14" s="112"/>
      <c r="P14" s="101">
        <f t="shared" si="0"/>
        <v>20306000</v>
      </c>
      <c r="Q14" s="98"/>
      <c r="R14" s="102" t="str">
        <f t="shared" si="3"/>
        <v>-</v>
      </c>
      <c r="S14" s="102" t="str">
        <f t="shared" ca="1" si="1"/>
        <v>-</v>
      </c>
      <c r="T14" s="68"/>
      <c r="U14" s="106"/>
      <c r="V14" s="104"/>
      <c r="W14" s="105">
        <v>26100000</v>
      </c>
      <c r="X14" s="68"/>
      <c r="Y14" s="106"/>
      <c r="Z14" s="104"/>
      <c r="AA14" s="104"/>
      <c r="AB14" s="104"/>
      <c r="AC14" s="104"/>
      <c r="AD14" s="105"/>
      <c r="AE14" s="68"/>
      <c r="AF14" s="106"/>
      <c r="AG14" s="104"/>
      <c r="AH14" s="104"/>
      <c r="AI14" s="107"/>
      <c r="AJ14" s="104"/>
      <c r="AK14" s="105"/>
      <c r="AL14" s="68"/>
      <c r="AM14" s="68"/>
    </row>
    <row r="15" spans="1:39" s="108" customFormat="1" ht="13.5" customHeight="1">
      <c r="A15" s="5"/>
      <c r="B15" s="94">
        <f t="shared" si="2"/>
        <v>5</v>
      </c>
      <c r="C15" s="95" t="s">
        <v>71</v>
      </c>
      <c r="D15" s="78" t="str">
        <f>D14</f>
        <v>기림이앤씨</v>
      </c>
      <c r="E15" s="78" t="str">
        <f>E14</f>
        <v>지웰시티푸르지오1단지오피스텔</v>
      </c>
      <c r="F15" s="96"/>
      <c r="G15" s="96"/>
      <c r="H15" s="81">
        <f>G14*40%</f>
        <v>36920000</v>
      </c>
      <c r="I15" s="97" t="s">
        <v>75</v>
      </c>
      <c r="J15" s="325">
        <f>J14</f>
        <v>45999</v>
      </c>
      <c r="K15" s="98"/>
      <c r="L15" s="325"/>
      <c r="M15" s="99" t="str">
        <f t="shared" si="4"/>
        <v/>
      </c>
      <c r="N15" s="98"/>
      <c r="O15" s="112"/>
      <c r="P15" s="101">
        <f t="shared" si="0"/>
        <v>40612000</v>
      </c>
      <c r="Q15" s="98"/>
      <c r="R15" s="102" t="str">
        <f t="shared" si="3"/>
        <v>-</v>
      </c>
      <c r="S15" s="102" t="str">
        <f t="shared" ca="1" si="1"/>
        <v>-</v>
      </c>
      <c r="T15" s="68"/>
      <c r="U15" s="106"/>
      <c r="V15" s="104"/>
      <c r="W15" s="105"/>
      <c r="X15" s="68"/>
      <c r="Y15" s="106"/>
      <c r="Z15" s="104"/>
      <c r="AA15" s="104"/>
      <c r="AB15" s="104"/>
      <c r="AC15" s="104"/>
      <c r="AD15" s="105"/>
      <c r="AE15" s="68"/>
      <c r="AF15" s="106"/>
      <c r="AG15" s="104"/>
      <c r="AH15" s="104"/>
      <c r="AI15" s="107"/>
      <c r="AJ15" s="104"/>
      <c r="AK15" s="105"/>
      <c r="AL15" s="68"/>
      <c r="AM15" s="68"/>
    </row>
    <row r="16" spans="1:39" s="108" customFormat="1" ht="13.5" customHeight="1">
      <c r="A16" s="5"/>
      <c r="B16" s="94">
        <f t="shared" si="2"/>
        <v>5</v>
      </c>
      <c r="C16" s="95" t="s">
        <v>71</v>
      </c>
      <c r="D16" s="78" t="str">
        <f>D15</f>
        <v>기림이앤씨</v>
      </c>
      <c r="E16" s="78" t="str">
        <f>E15</f>
        <v>지웰시티푸르지오1단지오피스텔</v>
      </c>
      <c r="F16" s="96"/>
      <c r="G16" s="96"/>
      <c r="H16" s="81">
        <f>(G14*40%)-AD14</f>
        <v>36920000</v>
      </c>
      <c r="I16" s="97" t="s">
        <v>76</v>
      </c>
      <c r="J16" s="325">
        <f>J15</f>
        <v>45999</v>
      </c>
      <c r="K16" s="98"/>
      <c r="L16" s="325"/>
      <c r="M16" s="99" t="str">
        <f t="shared" si="4"/>
        <v/>
      </c>
      <c r="N16" s="98"/>
      <c r="O16" s="112"/>
      <c r="P16" s="101">
        <f t="shared" si="0"/>
        <v>40612000</v>
      </c>
      <c r="Q16" s="98"/>
      <c r="R16" s="102" t="str">
        <f t="shared" si="3"/>
        <v>-</v>
      </c>
      <c r="S16" s="102" t="str">
        <f t="shared" ca="1" si="1"/>
        <v>-</v>
      </c>
      <c r="T16" s="68"/>
      <c r="U16" s="106"/>
      <c r="V16" s="104"/>
      <c r="W16" s="105"/>
      <c r="X16" s="68"/>
      <c r="Y16" s="106"/>
      <c r="Z16" s="104"/>
      <c r="AA16" s="104"/>
      <c r="AB16" s="104"/>
      <c r="AC16" s="104"/>
      <c r="AD16" s="105"/>
      <c r="AE16" s="68"/>
      <c r="AF16" s="106"/>
      <c r="AG16" s="104"/>
      <c r="AH16" s="104"/>
      <c r="AI16" s="107"/>
      <c r="AJ16" s="104"/>
      <c r="AK16" s="105"/>
      <c r="AL16" s="68"/>
      <c r="AM16" s="68"/>
    </row>
    <row r="17" spans="1:39" s="108" customFormat="1" ht="13.5" customHeight="1">
      <c r="A17" s="5"/>
      <c r="B17" s="94">
        <f t="shared" si="2"/>
        <v>6</v>
      </c>
      <c r="C17" s="78" t="s">
        <v>71</v>
      </c>
      <c r="D17" s="78" t="s">
        <v>83</v>
      </c>
      <c r="E17" s="78" t="s">
        <v>84</v>
      </c>
      <c r="F17" s="80">
        <v>105000000</v>
      </c>
      <c r="G17" s="80">
        <f>F17-W17</f>
        <v>76200000</v>
      </c>
      <c r="H17" s="81">
        <f>G17*20%</f>
        <v>15240000</v>
      </c>
      <c r="I17" s="97" t="s">
        <v>74</v>
      </c>
      <c r="J17" s="323">
        <v>45999</v>
      </c>
      <c r="K17" s="83"/>
      <c r="L17" s="323"/>
      <c r="M17" s="99" t="str">
        <f t="shared" si="4"/>
        <v/>
      </c>
      <c r="N17" s="98"/>
      <c r="O17" s="112"/>
      <c r="P17" s="101">
        <f t="shared" si="0"/>
        <v>16764000.000000002</v>
      </c>
      <c r="Q17" s="98"/>
      <c r="R17" s="102" t="str">
        <f t="shared" si="3"/>
        <v>-</v>
      </c>
      <c r="S17" s="102" t="str">
        <f t="shared" ca="1" si="1"/>
        <v>-</v>
      </c>
      <c r="T17" s="68"/>
      <c r="U17" s="106"/>
      <c r="V17" s="104"/>
      <c r="W17" s="105">
        <v>28800000</v>
      </c>
      <c r="X17" s="68"/>
      <c r="Y17" s="106"/>
      <c r="Z17" s="104"/>
      <c r="AA17" s="104"/>
      <c r="AB17" s="104"/>
      <c r="AC17" s="104"/>
      <c r="AD17" s="105"/>
      <c r="AE17" s="68"/>
      <c r="AF17" s="106"/>
      <c r="AG17" s="104"/>
      <c r="AH17" s="104"/>
      <c r="AI17" s="107"/>
      <c r="AJ17" s="104"/>
      <c r="AK17" s="105"/>
      <c r="AL17" s="68"/>
      <c r="AM17" s="68"/>
    </row>
    <row r="18" spans="1:39" s="108" customFormat="1" ht="13.5" customHeight="1">
      <c r="A18" s="5"/>
      <c r="B18" s="94">
        <f t="shared" si="2"/>
        <v>6</v>
      </c>
      <c r="C18" s="95" t="s">
        <v>71</v>
      </c>
      <c r="D18" s="78" t="str">
        <f>D17</f>
        <v>건진개발</v>
      </c>
      <c r="E18" s="78" t="str">
        <f>E17</f>
        <v>덕천동롯데</v>
      </c>
      <c r="F18" s="96"/>
      <c r="G18" s="96"/>
      <c r="H18" s="81">
        <f>G17*40%</f>
        <v>30480000</v>
      </c>
      <c r="I18" s="97" t="s">
        <v>75</v>
      </c>
      <c r="J18" s="325">
        <f>J17</f>
        <v>45999</v>
      </c>
      <c r="K18" s="98"/>
      <c r="L18" s="325"/>
      <c r="M18" s="99" t="str">
        <f t="shared" si="4"/>
        <v/>
      </c>
      <c r="N18" s="98"/>
      <c r="O18" s="112"/>
      <c r="P18" s="101">
        <f t="shared" si="0"/>
        <v>33528000.000000004</v>
      </c>
      <c r="Q18" s="98"/>
      <c r="R18" s="102" t="str">
        <f t="shared" si="3"/>
        <v>-</v>
      </c>
      <c r="S18" s="102" t="str">
        <f t="shared" ca="1" si="1"/>
        <v>-</v>
      </c>
      <c r="T18" s="68"/>
      <c r="U18" s="106"/>
      <c r="V18" s="104"/>
      <c r="W18" s="105"/>
      <c r="X18" s="68"/>
      <c r="Y18" s="106"/>
      <c r="Z18" s="104"/>
      <c r="AA18" s="104"/>
      <c r="AB18" s="104"/>
      <c r="AC18" s="104"/>
      <c r="AD18" s="105"/>
      <c r="AE18" s="68"/>
      <c r="AF18" s="106"/>
      <c r="AG18" s="104"/>
      <c r="AH18" s="104"/>
      <c r="AI18" s="107"/>
      <c r="AJ18" s="104"/>
      <c r="AK18" s="105"/>
      <c r="AL18" s="68"/>
      <c r="AM18" s="68"/>
    </row>
    <row r="19" spans="1:39" s="108" customFormat="1" ht="13.5" customHeight="1">
      <c r="A19" s="5"/>
      <c r="B19" s="94">
        <f t="shared" si="2"/>
        <v>6</v>
      </c>
      <c r="C19" s="95" t="s">
        <v>71</v>
      </c>
      <c r="D19" s="78" t="str">
        <f>D18</f>
        <v>건진개발</v>
      </c>
      <c r="E19" s="78" t="str">
        <f>E18</f>
        <v>덕천동롯데</v>
      </c>
      <c r="F19" s="96"/>
      <c r="G19" s="96"/>
      <c r="H19" s="81">
        <f>(G17*40%)-AD17</f>
        <v>30480000</v>
      </c>
      <c r="I19" s="97" t="s">
        <v>76</v>
      </c>
      <c r="J19" s="325">
        <f>J18</f>
        <v>45999</v>
      </c>
      <c r="K19" s="98"/>
      <c r="L19" s="325"/>
      <c r="M19" s="99" t="str">
        <f t="shared" si="4"/>
        <v/>
      </c>
      <c r="N19" s="98"/>
      <c r="O19" s="112"/>
      <c r="P19" s="101">
        <f t="shared" si="0"/>
        <v>33528000.000000004</v>
      </c>
      <c r="Q19" s="98"/>
      <c r="R19" s="102" t="str">
        <f t="shared" si="3"/>
        <v>-</v>
      </c>
      <c r="S19" s="102" t="str">
        <f t="shared" ca="1" si="1"/>
        <v>-</v>
      </c>
      <c r="T19" s="68"/>
      <c r="U19" s="106"/>
      <c r="V19" s="104"/>
      <c r="W19" s="105"/>
      <c r="X19" s="68"/>
      <c r="Y19" s="106"/>
      <c r="Z19" s="104"/>
      <c r="AA19" s="104"/>
      <c r="AB19" s="104"/>
      <c r="AC19" s="104"/>
      <c r="AD19" s="105"/>
      <c r="AE19" s="68"/>
      <c r="AF19" s="106"/>
      <c r="AG19" s="104"/>
      <c r="AH19" s="104"/>
      <c r="AI19" s="107"/>
      <c r="AJ19" s="104"/>
      <c r="AK19" s="105"/>
      <c r="AL19" s="68"/>
      <c r="AM19" s="68"/>
    </row>
    <row r="20" spans="1:39" s="108" customFormat="1" ht="13.5" customHeight="1">
      <c r="A20" s="5"/>
      <c r="B20" s="94">
        <f t="shared" si="2"/>
        <v>7</v>
      </c>
      <c r="C20" s="78" t="s">
        <v>71</v>
      </c>
      <c r="D20" s="78" t="s">
        <v>85</v>
      </c>
      <c r="E20" s="113" t="s">
        <v>86</v>
      </c>
      <c r="F20" s="80">
        <v>92100000</v>
      </c>
      <c r="G20" s="80">
        <f>F20-W20</f>
        <v>28988000</v>
      </c>
      <c r="H20" s="81">
        <f>G20*20%</f>
        <v>5797600</v>
      </c>
      <c r="I20" s="97" t="s">
        <v>74</v>
      </c>
      <c r="J20" s="323"/>
      <c r="K20" s="83"/>
      <c r="L20" s="323"/>
      <c r="M20" s="99" t="str">
        <f t="shared" si="4"/>
        <v/>
      </c>
      <c r="N20" s="98"/>
      <c r="O20" s="112"/>
      <c r="P20" s="101">
        <f t="shared" si="0"/>
        <v>6377360.0000000009</v>
      </c>
      <c r="Q20" s="98"/>
      <c r="R20" s="102" t="str">
        <f t="shared" si="3"/>
        <v>-</v>
      </c>
      <c r="S20" s="102" t="str">
        <f t="shared" ca="1" si="1"/>
        <v>-</v>
      </c>
      <c r="T20" s="68"/>
      <c r="U20" s="106"/>
      <c r="V20" s="104"/>
      <c r="W20" s="105">
        <v>63112000</v>
      </c>
      <c r="X20" s="68"/>
      <c r="Y20" s="106"/>
      <c r="Z20" s="104"/>
      <c r="AA20" s="104"/>
      <c r="AB20" s="104"/>
      <c r="AC20" s="104"/>
      <c r="AD20" s="105"/>
      <c r="AE20" s="68"/>
      <c r="AF20" s="106"/>
      <c r="AG20" s="104"/>
      <c r="AH20" s="104"/>
      <c r="AI20" s="107"/>
      <c r="AJ20" s="104"/>
      <c r="AK20" s="105"/>
      <c r="AL20" s="68"/>
      <c r="AM20" s="68"/>
    </row>
    <row r="21" spans="1:39" s="108" customFormat="1" ht="13.5" customHeight="1">
      <c r="A21" s="5"/>
      <c r="B21" s="94">
        <f t="shared" si="2"/>
        <v>7</v>
      </c>
      <c r="C21" s="95" t="s">
        <v>71</v>
      </c>
      <c r="D21" s="78" t="str">
        <f>D20</f>
        <v>석민이앤씨</v>
      </c>
      <c r="E21" s="114" t="str">
        <f>E20</f>
        <v>동탄역시범한화꿈에그린
프레스티지</v>
      </c>
      <c r="F21" s="96"/>
      <c r="G21" s="96"/>
      <c r="H21" s="81">
        <f>G20*40%</f>
        <v>11595200</v>
      </c>
      <c r="I21" s="97" t="s">
        <v>75</v>
      </c>
      <c r="J21" s="325"/>
      <c r="K21" s="98"/>
      <c r="L21" s="325"/>
      <c r="M21" s="99" t="str">
        <f t="shared" si="4"/>
        <v/>
      </c>
      <c r="N21" s="98"/>
      <c r="O21" s="112"/>
      <c r="P21" s="101">
        <f t="shared" si="0"/>
        <v>12754720.000000002</v>
      </c>
      <c r="Q21" s="98"/>
      <c r="R21" s="102" t="str">
        <f t="shared" si="3"/>
        <v>-</v>
      </c>
      <c r="S21" s="102" t="str">
        <f t="shared" ca="1" si="1"/>
        <v>-</v>
      </c>
      <c r="T21" s="68"/>
      <c r="U21" s="106"/>
      <c r="V21" s="104"/>
      <c r="W21" s="105"/>
      <c r="X21" s="68"/>
      <c r="Y21" s="106"/>
      <c r="Z21" s="104"/>
      <c r="AA21" s="104"/>
      <c r="AB21" s="104"/>
      <c r="AC21" s="104"/>
      <c r="AD21" s="105"/>
      <c r="AE21" s="68"/>
      <c r="AF21" s="106"/>
      <c r="AG21" s="104"/>
      <c r="AH21" s="104"/>
      <c r="AI21" s="107"/>
      <c r="AJ21" s="104"/>
      <c r="AK21" s="105"/>
      <c r="AL21" s="68"/>
      <c r="AM21" s="68"/>
    </row>
    <row r="22" spans="1:39" s="108" customFormat="1" ht="13.5" customHeight="1">
      <c r="A22" s="5"/>
      <c r="B22" s="94">
        <f t="shared" si="2"/>
        <v>7</v>
      </c>
      <c r="C22" s="95" t="s">
        <v>71</v>
      </c>
      <c r="D22" s="78" t="str">
        <f>D21</f>
        <v>석민이앤씨</v>
      </c>
      <c r="E22" s="114" t="str">
        <f>E21</f>
        <v>동탄역시범한화꿈에그린
프레스티지</v>
      </c>
      <c r="F22" s="96"/>
      <c r="G22" s="96"/>
      <c r="H22" s="81">
        <f>(G20*40%)-AD20</f>
        <v>11595200</v>
      </c>
      <c r="I22" s="97" t="s">
        <v>76</v>
      </c>
      <c r="J22" s="325"/>
      <c r="K22" s="98"/>
      <c r="L22" s="325"/>
      <c r="M22" s="99" t="str">
        <f t="shared" si="4"/>
        <v/>
      </c>
      <c r="N22" s="98"/>
      <c r="O22" s="112"/>
      <c r="P22" s="101">
        <f t="shared" si="0"/>
        <v>12754720.000000002</v>
      </c>
      <c r="Q22" s="98"/>
      <c r="R22" s="102" t="str">
        <f t="shared" si="3"/>
        <v>-</v>
      </c>
      <c r="S22" s="102" t="str">
        <f t="shared" ca="1" si="1"/>
        <v>-</v>
      </c>
      <c r="T22" s="68"/>
      <c r="U22" s="106"/>
      <c r="V22" s="104"/>
      <c r="W22" s="105"/>
      <c r="X22" s="68"/>
      <c r="Y22" s="106"/>
      <c r="Z22" s="104"/>
      <c r="AA22" s="104"/>
      <c r="AB22" s="104"/>
      <c r="AC22" s="104"/>
      <c r="AD22" s="105"/>
      <c r="AE22" s="68"/>
      <c r="AF22" s="106"/>
      <c r="AG22" s="104"/>
      <c r="AH22" s="104"/>
      <c r="AI22" s="107"/>
      <c r="AJ22" s="104"/>
      <c r="AK22" s="105"/>
      <c r="AL22" s="68"/>
      <c r="AM22" s="68"/>
    </row>
    <row r="23" spans="1:39" s="108" customFormat="1" ht="13.5" customHeight="1">
      <c r="A23" s="5"/>
      <c r="B23" s="94">
        <f t="shared" si="2"/>
        <v>8</v>
      </c>
      <c r="C23" s="78" t="s">
        <v>71</v>
      </c>
      <c r="D23" s="78" t="s">
        <v>87</v>
      </c>
      <c r="E23" s="79" t="s">
        <v>88</v>
      </c>
      <c r="F23" s="80">
        <v>101700000</v>
      </c>
      <c r="G23" s="80">
        <f>F23-W23</f>
        <v>78070000</v>
      </c>
      <c r="H23" s="81">
        <f>G23*20%</f>
        <v>15614000</v>
      </c>
      <c r="I23" s="97" t="s">
        <v>74</v>
      </c>
      <c r="J23" s="323">
        <v>46009</v>
      </c>
      <c r="K23" s="83"/>
      <c r="L23" s="323"/>
      <c r="M23" s="99" t="str">
        <f t="shared" si="4"/>
        <v/>
      </c>
      <c r="N23" s="98"/>
      <c r="O23" s="112"/>
      <c r="P23" s="101">
        <f t="shared" si="0"/>
        <v>17175400</v>
      </c>
      <c r="Q23" s="98"/>
      <c r="R23" s="102" t="str">
        <f t="shared" si="3"/>
        <v>-</v>
      </c>
      <c r="S23" s="102" t="str">
        <f t="shared" ca="1" si="1"/>
        <v>-</v>
      </c>
      <c r="T23" s="68"/>
      <c r="U23" s="106"/>
      <c r="V23" s="104"/>
      <c r="W23" s="105">
        <v>23630000</v>
      </c>
      <c r="X23" s="68"/>
      <c r="Y23" s="106"/>
      <c r="Z23" s="104"/>
      <c r="AA23" s="104"/>
      <c r="AB23" s="104"/>
      <c r="AC23" s="104"/>
      <c r="AD23" s="105"/>
      <c r="AE23" s="68"/>
      <c r="AF23" s="106"/>
      <c r="AG23" s="104"/>
      <c r="AH23" s="104"/>
      <c r="AI23" s="107"/>
      <c r="AJ23" s="104"/>
      <c r="AK23" s="105"/>
      <c r="AL23" s="68"/>
      <c r="AM23" s="68"/>
    </row>
    <row r="24" spans="1:39" s="108" customFormat="1" ht="13.5" customHeight="1">
      <c r="A24" s="5"/>
      <c r="B24" s="94">
        <f t="shared" si="2"/>
        <v>8</v>
      </c>
      <c r="C24" s="95" t="s">
        <v>71</v>
      </c>
      <c r="D24" s="78" t="str">
        <f>D23</f>
        <v>색채산업개발</v>
      </c>
      <c r="E24" s="78" t="str">
        <f>E23</f>
        <v>토당금강KCC</v>
      </c>
      <c r="F24" s="96"/>
      <c r="G24" s="96"/>
      <c r="H24" s="81">
        <f>G23*40%</f>
        <v>31228000</v>
      </c>
      <c r="I24" s="97" t="s">
        <v>75</v>
      </c>
      <c r="J24" s="325">
        <f>J23</f>
        <v>46009</v>
      </c>
      <c r="K24" s="98"/>
      <c r="L24" s="325"/>
      <c r="M24" s="99" t="str">
        <f t="shared" si="4"/>
        <v/>
      </c>
      <c r="N24" s="98"/>
      <c r="O24" s="112"/>
      <c r="P24" s="101">
        <f t="shared" si="0"/>
        <v>34350800</v>
      </c>
      <c r="Q24" s="98"/>
      <c r="R24" s="102" t="str">
        <f t="shared" si="3"/>
        <v>-</v>
      </c>
      <c r="S24" s="102" t="str">
        <f t="shared" ca="1" si="1"/>
        <v>-</v>
      </c>
      <c r="T24" s="68"/>
      <c r="U24" s="106"/>
      <c r="V24" s="104"/>
      <c r="W24" s="105"/>
      <c r="X24" s="68"/>
      <c r="Y24" s="106"/>
      <c r="Z24" s="104"/>
      <c r="AA24" s="104"/>
      <c r="AB24" s="104"/>
      <c r="AC24" s="104"/>
      <c r="AD24" s="105"/>
      <c r="AE24" s="68"/>
      <c r="AF24" s="106"/>
      <c r="AG24" s="104"/>
      <c r="AH24" s="104"/>
      <c r="AI24" s="107"/>
      <c r="AJ24" s="104"/>
      <c r="AK24" s="105"/>
      <c r="AL24" s="68"/>
      <c r="AM24" s="68"/>
    </row>
    <row r="25" spans="1:39" s="108" customFormat="1" ht="13.5" customHeight="1">
      <c r="A25" s="5"/>
      <c r="B25" s="94">
        <f t="shared" si="2"/>
        <v>8</v>
      </c>
      <c r="C25" s="109" t="s">
        <v>71</v>
      </c>
      <c r="D25" s="110" t="str">
        <f>D24</f>
        <v>색채산업개발</v>
      </c>
      <c r="E25" s="110" t="str">
        <f>E24</f>
        <v>토당금강KCC</v>
      </c>
      <c r="F25" s="115"/>
      <c r="G25" s="115"/>
      <c r="H25" s="116">
        <f>(G23*40%)-AD23</f>
        <v>31228000</v>
      </c>
      <c r="I25" s="117" t="s">
        <v>76</v>
      </c>
      <c r="J25" s="326">
        <f>J24</f>
        <v>46009</v>
      </c>
      <c r="K25" s="98"/>
      <c r="L25" s="325"/>
      <c r="M25" s="99" t="str">
        <f t="shared" si="4"/>
        <v/>
      </c>
      <c r="N25" s="98"/>
      <c r="O25" s="112"/>
      <c r="P25" s="101">
        <f t="shared" si="0"/>
        <v>34350800</v>
      </c>
      <c r="Q25" s="98"/>
      <c r="R25" s="102" t="str">
        <f t="shared" si="3"/>
        <v>-</v>
      </c>
      <c r="S25" s="102" t="str">
        <f t="shared" ca="1" si="1"/>
        <v>-</v>
      </c>
      <c r="T25" s="68"/>
      <c r="U25" s="106"/>
      <c r="V25" s="104"/>
      <c r="W25" s="105"/>
      <c r="X25" s="68"/>
      <c r="Y25" s="106"/>
      <c r="Z25" s="104"/>
      <c r="AA25" s="104"/>
      <c r="AB25" s="104"/>
      <c r="AC25" s="104"/>
      <c r="AD25" s="105"/>
      <c r="AE25" s="68"/>
      <c r="AF25" s="106"/>
      <c r="AG25" s="104"/>
      <c r="AH25" s="104"/>
      <c r="AI25" s="107"/>
      <c r="AJ25" s="104"/>
      <c r="AK25" s="105"/>
      <c r="AL25" s="68"/>
      <c r="AM25" s="68"/>
    </row>
    <row r="26" spans="1:39" ht="16.5" customHeight="1">
      <c r="M26" s="118" t="str">
        <f t="shared" si="4"/>
        <v/>
      </c>
      <c r="S26" s="57" t="str">
        <f t="shared" ca="1" si="1"/>
        <v>-</v>
      </c>
    </row>
    <row r="27" spans="1:39" ht="16.5" customHeight="1">
      <c r="M27" s="118" t="str">
        <f t="shared" si="4"/>
        <v/>
      </c>
      <c r="S27" s="57" t="str">
        <f t="shared" ca="1" si="1"/>
        <v>-</v>
      </c>
    </row>
    <row r="28" spans="1:39" ht="16.5" customHeight="1">
      <c r="M28" s="118" t="str">
        <f t="shared" si="4"/>
        <v/>
      </c>
      <c r="S28" s="57" t="str">
        <f t="shared" ca="1" si="1"/>
        <v>-</v>
      </c>
    </row>
    <row r="29" spans="1:39" ht="16.5" customHeight="1">
      <c r="M29" s="118" t="str">
        <f t="shared" si="4"/>
        <v/>
      </c>
      <c r="S29" s="57" t="str">
        <f t="shared" ca="1" si="1"/>
        <v>-</v>
      </c>
    </row>
    <row r="30" spans="1:39" ht="16.5" customHeight="1">
      <c r="M30" s="118" t="str">
        <f t="shared" si="4"/>
        <v/>
      </c>
      <c r="S30" s="57" t="str">
        <f t="shared" ca="1" si="1"/>
        <v>-</v>
      </c>
    </row>
    <row r="31" spans="1:39" ht="16.5" customHeight="1">
      <c r="M31" s="118" t="str">
        <f t="shared" si="4"/>
        <v/>
      </c>
      <c r="S31" s="57" t="str">
        <f t="shared" ca="1" si="1"/>
        <v>-</v>
      </c>
    </row>
    <row r="32" spans="1:39" ht="16.5" customHeight="1">
      <c r="M32" s="118" t="str">
        <f t="shared" si="4"/>
        <v/>
      </c>
      <c r="S32" s="57" t="str">
        <f t="shared" ca="1" si="1"/>
        <v>-</v>
      </c>
    </row>
    <row r="33" spans="9:20" ht="16.5" customHeight="1">
      <c r="M33" s="118" t="str">
        <f t="shared" si="4"/>
        <v/>
      </c>
      <c r="S33" s="57" t="str">
        <f t="shared" ca="1" si="1"/>
        <v>-</v>
      </c>
      <c r="T33" s="119"/>
    </row>
    <row r="34" spans="9:20" ht="16.5" customHeight="1">
      <c r="I34" s="120"/>
      <c r="M34" s="118" t="str">
        <f t="shared" si="4"/>
        <v/>
      </c>
      <c r="S34" s="57" t="str">
        <f t="shared" ref="S34:S65" ca="1" si="5">IF(AND(P34&lt;&gt;"",P34&gt;0,N34="",L34&lt;&gt;""),IF(I34="선금",IF(TODAY()&gt;L34+20,"확인요망","-"),IF(TODAY()&gt;L34+30,"확인요망","-")),"-")</f>
        <v>-</v>
      </c>
      <c r="T34" s="119"/>
    </row>
    <row r="35" spans="9:20" ht="16.5" customHeight="1">
      <c r="M35" s="118" t="str">
        <f t="shared" si="4"/>
        <v/>
      </c>
      <c r="S35" s="57" t="str">
        <f t="shared" ca="1" si="5"/>
        <v>-</v>
      </c>
      <c r="T35" s="119"/>
    </row>
    <row r="36" spans="9:20" ht="16.5" customHeight="1">
      <c r="I36" s="120"/>
      <c r="M36" s="118" t="str">
        <f t="shared" si="4"/>
        <v/>
      </c>
      <c r="S36" s="57" t="str">
        <f t="shared" ca="1" si="5"/>
        <v>-</v>
      </c>
    </row>
    <row r="37" spans="9:20" ht="16.5" customHeight="1">
      <c r="M37" s="118" t="str">
        <f t="shared" si="4"/>
        <v/>
      </c>
      <c r="S37" s="57" t="str">
        <f t="shared" ca="1" si="5"/>
        <v>-</v>
      </c>
    </row>
    <row r="38" spans="9:20" ht="16.5" customHeight="1">
      <c r="I38" s="120"/>
      <c r="M38" s="118" t="str">
        <f t="shared" ref="M38:M69" si="6">IF(L38&lt;&gt;"", L38+30, "")</f>
        <v/>
      </c>
      <c r="S38" s="57" t="str">
        <f t="shared" ca="1" si="5"/>
        <v>-</v>
      </c>
    </row>
    <row r="39" spans="9:20" ht="16.5" customHeight="1">
      <c r="M39" s="118" t="str">
        <f t="shared" si="6"/>
        <v/>
      </c>
      <c r="S39" s="57" t="str">
        <f t="shared" ca="1" si="5"/>
        <v>-</v>
      </c>
    </row>
    <row r="40" spans="9:20" ht="16.5" customHeight="1">
      <c r="I40" s="120"/>
      <c r="M40" s="118" t="str">
        <f t="shared" si="6"/>
        <v/>
      </c>
      <c r="S40" s="57" t="str">
        <f t="shared" ca="1" si="5"/>
        <v>-</v>
      </c>
    </row>
    <row r="41" spans="9:20" ht="16.5" customHeight="1">
      <c r="M41" s="118" t="str">
        <f t="shared" si="6"/>
        <v/>
      </c>
      <c r="S41" s="57" t="str">
        <f t="shared" ca="1" si="5"/>
        <v>-</v>
      </c>
    </row>
    <row r="42" spans="9:20" ht="16.5" customHeight="1">
      <c r="M42" s="118" t="str">
        <f t="shared" si="6"/>
        <v/>
      </c>
      <c r="S42" s="57" t="str">
        <f t="shared" ca="1" si="5"/>
        <v>-</v>
      </c>
    </row>
    <row r="43" spans="9:20" ht="16.5" customHeight="1">
      <c r="M43" s="118" t="str">
        <f t="shared" si="6"/>
        <v/>
      </c>
      <c r="S43" s="57" t="str">
        <f t="shared" ca="1" si="5"/>
        <v>-</v>
      </c>
    </row>
    <row r="44" spans="9:20" ht="16.5" customHeight="1">
      <c r="M44" s="118" t="str">
        <f t="shared" si="6"/>
        <v/>
      </c>
      <c r="S44" s="57" t="str">
        <f t="shared" ca="1" si="5"/>
        <v>-</v>
      </c>
    </row>
    <row r="45" spans="9:20" ht="16.5" customHeight="1">
      <c r="M45" s="118" t="str">
        <f t="shared" si="6"/>
        <v/>
      </c>
      <c r="S45" s="57" t="str">
        <f t="shared" ca="1" si="5"/>
        <v>-</v>
      </c>
    </row>
    <row r="46" spans="9:20" ht="16.5" customHeight="1">
      <c r="M46" s="118" t="str">
        <f t="shared" si="6"/>
        <v/>
      </c>
      <c r="S46" s="57" t="str">
        <f t="shared" ca="1" si="5"/>
        <v>-</v>
      </c>
    </row>
    <row r="47" spans="9:20" ht="16.5" customHeight="1">
      <c r="M47" s="118" t="str">
        <f t="shared" si="6"/>
        <v/>
      </c>
      <c r="S47" s="57" t="str">
        <f t="shared" ca="1" si="5"/>
        <v>-</v>
      </c>
    </row>
    <row r="48" spans="9:20" ht="16.5" customHeight="1">
      <c r="M48" s="118" t="str">
        <f t="shared" si="6"/>
        <v/>
      </c>
      <c r="S48" s="57" t="str">
        <f t="shared" ca="1" si="5"/>
        <v>-</v>
      </c>
    </row>
    <row r="49" spans="13:19" ht="16.5" customHeight="1">
      <c r="M49" s="118" t="str">
        <f t="shared" si="6"/>
        <v/>
      </c>
      <c r="S49" s="57" t="str">
        <f t="shared" ca="1" si="5"/>
        <v>-</v>
      </c>
    </row>
    <row r="50" spans="13:19" ht="16.5" customHeight="1">
      <c r="M50" s="118" t="str">
        <f t="shared" si="6"/>
        <v/>
      </c>
      <c r="S50" s="57" t="str">
        <f t="shared" ca="1" si="5"/>
        <v>-</v>
      </c>
    </row>
    <row r="51" spans="13:19" ht="16.5" customHeight="1">
      <c r="M51" s="118" t="str">
        <f t="shared" si="6"/>
        <v/>
      </c>
      <c r="S51" s="57" t="str">
        <f t="shared" ca="1" si="5"/>
        <v>-</v>
      </c>
    </row>
    <row r="52" spans="13:19" ht="16.5" customHeight="1">
      <c r="M52" s="118" t="str">
        <f t="shared" si="6"/>
        <v/>
      </c>
      <c r="S52" s="57" t="str">
        <f t="shared" ca="1" si="5"/>
        <v>-</v>
      </c>
    </row>
    <row r="53" spans="13:19" ht="16.5" customHeight="1">
      <c r="M53" s="118" t="str">
        <f t="shared" si="6"/>
        <v/>
      </c>
      <c r="S53" s="57" t="str">
        <f t="shared" ca="1" si="5"/>
        <v>-</v>
      </c>
    </row>
    <row r="54" spans="13:19" ht="16.5" customHeight="1">
      <c r="M54" s="118" t="str">
        <f t="shared" si="6"/>
        <v/>
      </c>
      <c r="S54" s="57" t="str">
        <f t="shared" ca="1" si="5"/>
        <v>-</v>
      </c>
    </row>
    <row r="55" spans="13:19" ht="16.5" customHeight="1">
      <c r="M55" s="118" t="str">
        <f t="shared" si="6"/>
        <v/>
      </c>
      <c r="S55" s="57" t="str">
        <f t="shared" ca="1" si="5"/>
        <v>-</v>
      </c>
    </row>
    <row r="56" spans="13:19" ht="16.5" customHeight="1">
      <c r="M56" s="118" t="str">
        <f t="shared" si="6"/>
        <v/>
      </c>
      <c r="S56" s="57" t="str">
        <f t="shared" ca="1" si="5"/>
        <v>-</v>
      </c>
    </row>
    <row r="57" spans="13:19" ht="16.5" customHeight="1">
      <c r="M57" s="118" t="str">
        <f t="shared" si="6"/>
        <v/>
      </c>
      <c r="S57" s="57" t="str">
        <f t="shared" ca="1" si="5"/>
        <v>-</v>
      </c>
    </row>
    <row r="58" spans="13:19" ht="16.5" customHeight="1">
      <c r="M58" s="118" t="str">
        <f t="shared" si="6"/>
        <v/>
      </c>
      <c r="S58" s="57" t="str">
        <f t="shared" ca="1" si="5"/>
        <v>-</v>
      </c>
    </row>
    <row r="59" spans="13:19" ht="16.5" customHeight="1">
      <c r="M59" s="118" t="str">
        <f t="shared" si="6"/>
        <v/>
      </c>
      <c r="S59" s="57" t="str">
        <f t="shared" ca="1" si="5"/>
        <v>-</v>
      </c>
    </row>
    <row r="60" spans="13:19" ht="16.5" customHeight="1">
      <c r="M60" s="118" t="str">
        <f t="shared" si="6"/>
        <v/>
      </c>
      <c r="S60" s="57" t="str">
        <f t="shared" ca="1" si="5"/>
        <v>-</v>
      </c>
    </row>
    <row r="61" spans="13:19" ht="16.5" customHeight="1">
      <c r="M61" s="118" t="str">
        <f t="shared" si="6"/>
        <v/>
      </c>
      <c r="S61" s="57" t="str">
        <f t="shared" ca="1" si="5"/>
        <v>-</v>
      </c>
    </row>
    <row r="62" spans="13:19" ht="16.5" customHeight="1">
      <c r="M62" s="118" t="str">
        <f t="shared" si="6"/>
        <v/>
      </c>
      <c r="S62" s="57" t="str">
        <f t="shared" ca="1" si="5"/>
        <v>-</v>
      </c>
    </row>
    <row r="63" spans="13:19" ht="16.5" customHeight="1">
      <c r="M63" s="118" t="str">
        <f t="shared" si="6"/>
        <v/>
      </c>
      <c r="S63" s="57" t="str">
        <f t="shared" ca="1" si="5"/>
        <v>-</v>
      </c>
    </row>
    <row r="64" spans="13:19" ht="16.5" customHeight="1">
      <c r="M64" s="118" t="str">
        <f t="shared" si="6"/>
        <v/>
      </c>
      <c r="S64" s="57" t="str">
        <f t="shared" ca="1" si="5"/>
        <v>-</v>
      </c>
    </row>
    <row r="65" spans="13:19" ht="16.5" customHeight="1">
      <c r="M65" s="118" t="str">
        <f t="shared" si="6"/>
        <v/>
      </c>
      <c r="S65" s="57" t="str">
        <f t="shared" ca="1" si="5"/>
        <v>-</v>
      </c>
    </row>
    <row r="66" spans="13:19" ht="16.5" customHeight="1">
      <c r="M66" s="118" t="str">
        <f t="shared" si="6"/>
        <v/>
      </c>
      <c r="S66" s="57" t="str">
        <f t="shared" ref="S66:S87" ca="1" si="7">IF(AND(P66&lt;&gt;"",P66&gt;0,N66="",L66&lt;&gt;""),IF(I66="선금",IF(TODAY()&gt;L66+20,"확인요망","-"),IF(TODAY()&gt;L66+30,"확인요망","-")),"-")</f>
        <v>-</v>
      </c>
    </row>
    <row r="67" spans="13:19" ht="16.5" customHeight="1">
      <c r="M67" s="118" t="str">
        <f t="shared" si="6"/>
        <v/>
      </c>
      <c r="S67" s="57" t="str">
        <f t="shared" ca="1" si="7"/>
        <v>-</v>
      </c>
    </row>
    <row r="68" spans="13:19" ht="16.5" customHeight="1">
      <c r="M68" s="118" t="str">
        <f t="shared" si="6"/>
        <v/>
      </c>
      <c r="S68" s="57" t="str">
        <f t="shared" ca="1" si="7"/>
        <v>-</v>
      </c>
    </row>
    <row r="69" spans="13:19" ht="16.5" customHeight="1">
      <c r="M69" s="118" t="str">
        <f t="shared" si="6"/>
        <v/>
      </c>
      <c r="S69" s="57" t="str">
        <f t="shared" ca="1" si="7"/>
        <v>-</v>
      </c>
    </row>
    <row r="70" spans="13:19" ht="16.5" customHeight="1">
      <c r="M70" s="118" t="str">
        <f t="shared" ref="M70:M87" si="8">IF(L70&lt;&gt;"", L70+30, "")</f>
        <v/>
      </c>
      <c r="S70" s="57" t="str">
        <f t="shared" ca="1" si="7"/>
        <v>-</v>
      </c>
    </row>
    <row r="71" spans="13:19" ht="16.5" customHeight="1">
      <c r="M71" s="118" t="str">
        <f t="shared" si="8"/>
        <v/>
      </c>
      <c r="S71" s="57" t="str">
        <f t="shared" ca="1" si="7"/>
        <v>-</v>
      </c>
    </row>
    <row r="72" spans="13:19" ht="16.5" customHeight="1">
      <c r="M72" s="118" t="str">
        <f t="shared" si="8"/>
        <v/>
      </c>
      <c r="S72" s="57" t="str">
        <f t="shared" ca="1" si="7"/>
        <v>-</v>
      </c>
    </row>
    <row r="73" spans="13:19" ht="16.5" customHeight="1">
      <c r="M73" s="118" t="str">
        <f t="shared" si="8"/>
        <v/>
      </c>
      <c r="S73" s="57" t="str">
        <f t="shared" ca="1" si="7"/>
        <v>-</v>
      </c>
    </row>
    <row r="74" spans="13:19" ht="16.5" customHeight="1">
      <c r="M74" s="118" t="str">
        <f t="shared" si="8"/>
        <v/>
      </c>
      <c r="S74" s="57" t="str">
        <f t="shared" ca="1" si="7"/>
        <v>-</v>
      </c>
    </row>
    <row r="75" spans="13:19" ht="16.5" customHeight="1">
      <c r="M75" s="118" t="str">
        <f t="shared" si="8"/>
        <v/>
      </c>
      <c r="S75" s="57" t="str">
        <f t="shared" ca="1" si="7"/>
        <v>-</v>
      </c>
    </row>
    <row r="76" spans="13:19" ht="16.5" customHeight="1">
      <c r="M76" s="118" t="str">
        <f t="shared" si="8"/>
        <v/>
      </c>
      <c r="S76" s="57" t="str">
        <f t="shared" ca="1" si="7"/>
        <v>-</v>
      </c>
    </row>
    <row r="77" spans="13:19" ht="16.5" customHeight="1">
      <c r="M77" s="118" t="str">
        <f t="shared" si="8"/>
        <v/>
      </c>
      <c r="S77" s="57" t="str">
        <f t="shared" ca="1" si="7"/>
        <v>-</v>
      </c>
    </row>
    <row r="78" spans="13:19" ht="16.5" customHeight="1">
      <c r="M78" s="118" t="str">
        <f t="shared" si="8"/>
        <v/>
      </c>
      <c r="S78" s="57" t="str">
        <f t="shared" ca="1" si="7"/>
        <v>-</v>
      </c>
    </row>
    <row r="79" spans="13:19" ht="16.5" customHeight="1">
      <c r="M79" s="118" t="str">
        <f t="shared" si="8"/>
        <v/>
      </c>
      <c r="S79" s="57" t="str">
        <f t="shared" ca="1" si="7"/>
        <v>-</v>
      </c>
    </row>
    <row r="80" spans="13:19" ht="16.5" customHeight="1">
      <c r="M80" s="118" t="str">
        <f t="shared" si="8"/>
        <v/>
      </c>
      <c r="S80" s="57" t="str">
        <f t="shared" ca="1" si="7"/>
        <v>-</v>
      </c>
    </row>
    <row r="81" spans="13:19" ht="16.5" customHeight="1">
      <c r="M81" s="118" t="str">
        <f t="shared" si="8"/>
        <v/>
      </c>
      <c r="S81" s="57" t="str">
        <f t="shared" ca="1" si="7"/>
        <v>-</v>
      </c>
    </row>
    <row r="82" spans="13:19" ht="16.5" customHeight="1">
      <c r="M82" s="118" t="str">
        <f t="shared" si="8"/>
        <v/>
      </c>
      <c r="S82" s="57" t="str">
        <f t="shared" ca="1" si="7"/>
        <v>-</v>
      </c>
    </row>
    <row r="83" spans="13:19" ht="16.5" customHeight="1">
      <c r="M83" s="118" t="str">
        <f t="shared" si="8"/>
        <v/>
      </c>
      <c r="S83" s="57" t="str">
        <f t="shared" ca="1" si="7"/>
        <v>-</v>
      </c>
    </row>
    <row r="84" spans="13:19" ht="16.5" customHeight="1">
      <c r="M84" s="118" t="str">
        <f t="shared" si="8"/>
        <v/>
      </c>
      <c r="S84" s="57" t="str">
        <f t="shared" ca="1" si="7"/>
        <v>-</v>
      </c>
    </row>
    <row r="85" spans="13:19" ht="16.5" customHeight="1">
      <c r="M85" s="118" t="str">
        <f t="shared" si="8"/>
        <v/>
      </c>
      <c r="S85" s="57" t="str">
        <f t="shared" ca="1" si="7"/>
        <v>-</v>
      </c>
    </row>
    <row r="86" spans="13:19" ht="16.5" customHeight="1">
      <c r="M86" s="118" t="str">
        <f t="shared" si="8"/>
        <v/>
      </c>
      <c r="S86" s="57" t="str">
        <f t="shared" ca="1" si="7"/>
        <v>-</v>
      </c>
    </row>
    <row r="87" spans="13:19" ht="16.5" customHeight="1">
      <c r="M87" s="118" t="str">
        <f t="shared" si="8"/>
        <v/>
      </c>
      <c r="S87" s="57" t="str">
        <f t="shared" ca="1" si="7"/>
        <v>-</v>
      </c>
    </row>
  </sheetData>
  <phoneticPr fontId="47" type="noConversion"/>
  <conditionalFormatting sqref="B2:S25">
    <cfRule type="expression" dxfId="25" priority="2">
      <formula>$I2="잔금"</formula>
    </cfRule>
  </conditionalFormatting>
  <conditionalFormatting sqref="D2:E87">
    <cfRule type="expression" dxfId="24" priority="3">
      <formula>AND($I2&lt;&gt;"선금", $I2&lt;&gt;"")</formula>
    </cfRule>
  </conditionalFormatting>
  <conditionalFormatting sqref="U2:W25 Y2:AD25 AF2:AK25 B26:AM87">
    <cfRule type="expression" dxfId="23" priority="4">
      <formula>$I2="잔금"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showGridLines="0" zoomScale="90" zoomScaleNormal="90" workbookViewId="0">
      <selection activeCell="C14" sqref="C14"/>
    </sheetView>
  </sheetViews>
  <sheetFormatPr defaultColWidth="7" defaultRowHeight="13.5"/>
  <cols>
    <col min="1" max="1" width="5.875" style="5" customWidth="1"/>
    <col min="2" max="2" width="13.375" style="5" customWidth="1"/>
    <col min="3" max="4" width="13.25" style="5" customWidth="1"/>
    <col min="5" max="5" width="11.25" style="5" customWidth="1"/>
    <col min="6" max="7" width="13" style="5" customWidth="1"/>
    <col min="8" max="9" width="13" style="121" customWidth="1"/>
    <col min="10" max="10" width="11.5" style="122" customWidth="1"/>
    <col min="11" max="11" width="14" style="122" customWidth="1"/>
    <col min="12" max="12" width="16" style="5" customWidth="1"/>
    <col min="13" max="13" width="14" style="5" customWidth="1"/>
    <col min="14" max="14" width="11.625" style="5" customWidth="1"/>
    <col min="15" max="15" width="16.375" style="5" customWidth="1"/>
    <col min="16" max="16" width="13.375" style="5" customWidth="1"/>
    <col min="17" max="16384" width="7" style="5"/>
  </cols>
  <sheetData>
    <row r="1" spans="1:16" s="128" customFormat="1" ht="18" customHeight="1">
      <c r="A1" s="123"/>
      <c r="B1" s="124" t="s">
        <v>40</v>
      </c>
      <c r="C1" s="124" t="s">
        <v>27</v>
      </c>
      <c r="D1" s="124" t="s">
        <v>41</v>
      </c>
      <c r="E1" s="124" t="s">
        <v>42</v>
      </c>
      <c r="F1" s="124" t="s">
        <v>89</v>
      </c>
      <c r="G1" s="125" t="s">
        <v>90</v>
      </c>
      <c r="H1" s="124" t="s">
        <v>45</v>
      </c>
      <c r="I1" s="124" t="s">
        <v>46</v>
      </c>
      <c r="J1" s="126" t="s">
        <v>47</v>
      </c>
      <c r="K1" s="126" t="s">
        <v>49</v>
      </c>
      <c r="L1" s="124" t="s">
        <v>50</v>
      </c>
      <c r="M1" s="124" t="s">
        <v>51</v>
      </c>
      <c r="N1" s="124" t="s">
        <v>52</v>
      </c>
      <c r="O1" s="125" t="s">
        <v>53</v>
      </c>
      <c r="P1" s="127" t="s">
        <v>56</v>
      </c>
    </row>
    <row r="2" spans="1:16" ht="15" customHeight="1">
      <c r="B2" s="129">
        <v>1</v>
      </c>
      <c r="C2" s="112" t="s">
        <v>91</v>
      </c>
      <c r="D2" s="78"/>
      <c r="E2" s="78"/>
      <c r="F2" s="101"/>
      <c r="G2" s="101"/>
      <c r="H2" s="130">
        <f>G2</f>
        <v>0</v>
      </c>
      <c r="I2" s="97"/>
      <c r="J2" s="111"/>
      <c r="K2" s="111"/>
      <c r="L2" s="99" t="str">
        <f>IF(K2&lt;&gt;"", K2+30, "")</f>
        <v/>
      </c>
      <c r="M2" s="112"/>
      <c r="N2" s="112"/>
      <c r="O2" s="101">
        <f>(H2*1.1)-N2</f>
        <v>0</v>
      </c>
      <c r="P2" s="131" t="str">
        <f ca="1">IF(AND(O2&lt;&gt;"",O2&gt;0,M2="",K2&lt;&gt;""),IF(I2="선금",IF(TODAY()&gt;K2+20,"확인요망","-"),IF(TODAY()&gt;K2+30,"확인요망","-")),"-")</f>
        <v>-</v>
      </c>
    </row>
    <row r="3" spans="1:16" ht="15" customHeight="1">
      <c r="B3" s="132">
        <f>IF(I2="잔금", B2+1, B2)</f>
        <v>1</v>
      </c>
      <c r="C3" s="133" t="s">
        <v>91</v>
      </c>
      <c r="D3" s="134"/>
      <c r="E3" s="134"/>
      <c r="F3" s="135"/>
      <c r="G3" s="135"/>
      <c r="H3" s="136">
        <f>G3*40%</f>
        <v>0</v>
      </c>
      <c r="I3" s="137"/>
      <c r="J3" s="138"/>
      <c r="K3" s="111"/>
      <c r="L3" s="139" t="str">
        <f>IF(K3&lt;&gt;"", K3+30, "")</f>
        <v/>
      </c>
      <c r="M3" s="133"/>
      <c r="N3" s="133"/>
      <c r="O3" s="101">
        <f>(H3*1.1)-N3</f>
        <v>0</v>
      </c>
      <c r="P3" s="131" t="str">
        <f ca="1">IF(AND(O3&lt;&gt;"",O3&gt;0,M3="",K3&lt;&gt;""),IF(I3="선금",IF(TODAY()&gt;K3+20,"확인요망","-"),IF(TODAY()&gt;K3+30,"확인요망","-")),"-")</f>
        <v>-</v>
      </c>
    </row>
  </sheetData>
  <phoneticPr fontId="47" type="noConversion"/>
  <conditionalFormatting sqref="B2:P3">
    <cfRule type="expression" dxfId="22" priority="2">
      <formula>$I2="잔금"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5"/>
  <sheetViews>
    <sheetView showGridLines="0" zoomScale="96" zoomScaleNormal="96" workbookViewId="0">
      <selection activeCell="F21" sqref="F21"/>
    </sheetView>
  </sheetViews>
  <sheetFormatPr defaultColWidth="9" defaultRowHeight="13.5"/>
  <cols>
    <col min="1" max="1" width="3" style="5" customWidth="1"/>
    <col min="2" max="2" width="9" style="5"/>
    <col min="3" max="3" width="23" style="5" customWidth="1"/>
    <col min="4" max="4" width="13.75" style="5" customWidth="1"/>
    <col min="5" max="5" width="20.375" style="5" customWidth="1"/>
    <col min="6" max="6" width="16.375" style="5" customWidth="1"/>
    <col min="7" max="7" width="13.125" style="140" customWidth="1"/>
    <col min="8" max="8" width="22.375" style="5" customWidth="1"/>
    <col min="9" max="9" width="14.875" style="121" customWidth="1"/>
    <col min="10" max="11" width="13.25" style="141" customWidth="1"/>
    <col min="12" max="12" width="12.375" style="5" customWidth="1"/>
    <col min="13" max="13" width="13.875" style="5" customWidth="1"/>
    <col min="14" max="14" width="13" style="142" customWidth="1"/>
    <col min="15" max="15" width="16" style="142" customWidth="1"/>
    <col min="16" max="16" width="12" style="142" customWidth="1"/>
    <col min="17" max="16384" width="9" style="5"/>
  </cols>
  <sheetData>
    <row r="1" spans="2:17" s="143" customFormat="1" ht="16.5" customHeight="1">
      <c r="B1" s="144" t="s">
        <v>40</v>
      </c>
      <c r="C1" s="144" t="s">
        <v>27</v>
      </c>
      <c r="D1" s="144" t="s">
        <v>41</v>
      </c>
      <c r="E1" s="144" t="s">
        <v>42</v>
      </c>
      <c r="F1" s="144" t="s">
        <v>89</v>
      </c>
      <c r="G1" s="144" t="s">
        <v>92</v>
      </c>
      <c r="H1" s="144" t="s">
        <v>93</v>
      </c>
      <c r="I1" s="144" t="s">
        <v>94</v>
      </c>
      <c r="J1" s="145" t="s">
        <v>95</v>
      </c>
      <c r="K1" s="145" t="s">
        <v>49</v>
      </c>
      <c r="L1" s="146" t="s">
        <v>50</v>
      </c>
      <c r="M1" s="147" t="s">
        <v>51</v>
      </c>
      <c r="N1" s="148" t="s">
        <v>96</v>
      </c>
      <c r="O1" s="125" t="s">
        <v>53</v>
      </c>
      <c r="P1" s="148" t="s">
        <v>56</v>
      </c>
      <c r="Q1" s="5"/>
    </row>
    <row r="2" spans="2:17" ht="16.5" customHeight="1">
      <c r="B2" s="149">
        <v>1</v>
      </c>
      <c r="C2" s="150" t="s">
        <v>32</v>
      </c>
      <c r="D2" s="150" t="s">
        <v>97</v>
      </c>
      <c r="E2" s="150" t="s">
        <v>98</v>
      </c>
      <c r="F2" s="151">
        <v>396000000</v>
      </c>
      <c r="G2" s="152">
        <v>0.01</v>
      </c>
      <c r="H2" s="153">
        <v>315000</v>
      </c>
      <c r="I2" s="154">
        <f>(F2*G2)-(H2*50%)</f>
        <v>3802500</v>
      </c>
      <c r="J2" s="111">
        <v>45999</v>
      </c>
      <c r="K2" s="111">
        <v>46027</v>
      </c>
      <c r="L2" s="155">
        <f>IF(K2&lt;&gt;"", K2+30, "")</f>
        <v>46057</v>
      </c>
      <c r="M2" s="156"/>
      <c r="N2" s="151"/>
      <c r="O2" s="104">
        <f>(I2*1.1)-N2</f>
        <v>4182750.0000000005</v>
      </c>
      <c r="P2" s="131" t="str">
        <f ca="1">IF(AND(O2&lt;&gt;"",O2&gt;0,M2="",K2&lt;&gt;"",TODAY()&gt;K2+30),"확인요망","-")</f>
        <v>-</v>
      </c>
    </row>
    <row r="3" spans="2:17" ht="16.5" customHeight="1">
      <c r="B3" s="157">
        <v>2</v>
      </c>
      <c r="C3" s="158" t="s">
        <v>32</v>
      </c>
      <c r="D3" s="158" t="s">
        <v>99</v>
      </c>
      <c r="E3" s="158" t="s">
        <v>100</v>
      </c>
      <c r="F3" s="159">
        <v>809200000</v>
      </c>
      <c r="G3" s="160">
        <v>0.01</v>
      </c>
      <c r="H3" s="161">
        <v>15907900</v>
      </c>
      <c r="I3" s="154">
        <f>(F3*G3)-(H3*50%)</f>
        <v>138050</v>
      </c>
      <c r="J3" s="111">
        <v>46020</v>
      </c>
      <c r="K3" s="111">
        <v>46028</v>
      </c>
      <c r="L3" s="162">
        <f>IF(K3&lt;&gt;"", K3+30, "")</f>
        <v>46058</v>
      </c>
      <c r="M3" s="156"/>
      <c r="N3" s="159"/>
      <c r="O3" s="163">
        <f>(I3*1.1)-N3</f>
        <v>151855</v>
      </c>
      <c r="P3" s="164" t="str">
        <f ca="1">IF(AND(O3&lt;&gt;"",O3&gt;0,M3="",K3&lt;&gt;"",TODAY()&gt;K3+30),"확인요망","-")</f>
        <v>-</v>
      </c>
    </row>
    <row r="4" spans="2:17" ht="16.5" customHeight="1">
      <c r="B4" s="157">
        <v>3</v>
      </c>
      <c r="C4" s="158" t="s">
        <v>32</v>
      </c>
      <c r="D4" s="158" t="s">
        <v>99</v>
      </c>
      <c r="E4" s="158" t="s">
        <v>101</v>
      </c>
      <c r="F4" s="159">
        <v>830000000</v>
      </c>
      <c r="G4" s="160">
        <v>0.01</v>
      </c>
      <c r="H4" s="161">
        <v>3249900</v>
      </c>
      <c r="I4" s="154">
        <f>(F4*G4)-(H4*50%)</f>
        <v>6675050</v>
      </c>
      <c r="J4" s="111">
        <v>46020</v>
      </c>
      <c r="K4" s="111">
        <v>46028</v>
      </c>
      <c r="L4" s="162">
        <f>IF(K4&lt;&gt;"", K4+30, "")</f>
        <v>46058</v>
      </c>
      <c r="M4" s="165"/>
      <c r="N4" s="159"/>
      <c r="O4" s="163">
        <f>(I4*1.1)-N4</f>
        <v>7342555.0000000009</v>
      </c>
      <c r="P4" s="164" t="str">
        <f ca="1">IF(AND(O4&lt;&gt;"",O4&gt;0,M4="",K4&lt;&gt;"",TODAY()&gt;K4+30),"확인요망","-")</f>
        <v>-</v>
      </c>
    </row>
    <row r="5" spans="2:17" ht="16.5" customHeight="1">
      <c r="B5" s="157">
        <v>3</v>
      </c>
      <c r="C5" s="158" t="s">
        <v>32</v>
      </c>
      <c r="D5" s="392" t="s">
        <v>441</v>
      </c>
      <c r="E5" s="392" t="s">
        <v>442</v>
      </c>
      <c r="F5" s="159"/>
      <c r="G5" s="160"/>
      <c r="H5" s="161"/>
      <c r="I5" s="154">
        <v>7500000</v>
      </c>
      <c r="J5" s="111">
        <v>46020</v>
      </c>
      <c r="K5" s="111">
        <v>46028</v>
      </c>
      <c r="L5" s="162">
        <f>IF(K5&lt;&gt;"", K5+30, "")</f>
        <v>46058</v>
      </c>
      <c r="M5" s="165"/>
      <c r="N5" s="159"/>
      <c r="O5" s="163">
        <f>(I5*1.1)-N5</f>
        <v>8250000.0000000009</v>
      </c>
      <c r="P5" s="164" t="str">
        <f ca="1">IF(AND(O5&lt;&gt;"",O5&gt;0,M5="",K5&lt;&gt;"",TODAY()&gt;K5+30),"확인요망","-")</f>
        <v>-</v>
      </c>
    </row>
  </sheetData>
  <phoneticPr fontId="4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00"/>
  <sheetViews>
    <sheetView showGridLines="0" zoomScaleNormal="100" workbookViewId="0">
      <selection activeCell="P11" sqref="P11"/>
    </sheetView>
  </sheetViews>
  <sheetFormatPr defaultColWidth="8.5" defaultRowHeight="16.5"/>
  <cols>
    <col min="1" max="1" width="11.125" style="4" customWidth="1"/>
    <col min="2" max="2" width="12.375" style="4" hidden="1" customWidth="1"/>
    <col min="3" max="3" width="9" style="4" hidden="1" customWidth="1"/>
    <col min="4" max="4" width="28.875" style="4" hidden="1" customWidth="1"/>
    <col min="5" max="5" width="10.25" style="4" hidden="1" customWidth="1"/>
    <col min="6" max="6" width="10.25" style="166" hidden="1" customWidth="1"/>
    <col min="7" max="7" width="9.25" style="4" hidden="1" customWidth="1"/>
    <col min="8" max="9" width="19.25" style="4" hidden="1" customWidth="1"/>
    <col min="10" max="10" width="11" style="4" hidden="1" customWidth="1"/>
    <col min="11" max="11" width="38.75" style="4" hidden="1" customWidth="1"/>
    <col min="12" max="12" width="14.625" style="4" customWidth="1"/>
    <col min="13" max="13" width="25.25" style="4" hidden="1" customWidth="1"/>
    <col min="14" max="14" width="22.375" style="4" hidden="1" customWidth="1"/>
    <col min="15" max="15" width="19" style="4" hidden="1" customWidth="1"/>
    <col min="16" max="16" width="11.125" style="167" customWidth="1"/>
    <col min="17" max="19" width="9" style="4" hidden="1" customWidth="1"/>
    <col min="20" max="20" width="10.25" style="4" hidden="1" customWidth="1"/>
    <col min="21" max="21" width="13" style="4" hidden="1" customWidth="1"/>
    <col min="22" max="22" width="9.25" style="4" hidden="1" customWidth="1"/>
    <col min="23" max="23" width="15.125" style="4" hidden="1" customWidth="1"/>
    <col min="24" max="32" width="13" style="4" hidden="1" customWidth="1"/>
    <col min="33" max="33" width="20.625" style="4" customWidth="1"/>
    <col min="34" max="36" width="13" style="4" customWidth="1"/>
    <col min="37" max="37" width="16" style="4" customWidth="1"/>
    <col min="42" max="42" width="11.875" style="4" customWidth="1"/>
    <col min="44" max="44" width="13" style="4" customWidth="1"/>
  </cols>
  <sheetData>
    <row r="1" spans="1:44" s="168" customFormat="1" ht="25.5" customHeight="1">
      <c r="A1" s="61" t="s">
        <v>49</v>
      </c>
      <c r="B1" s="61" t="s">
        <v>102</v>
      </c>
      <c r="C1" s="61" t="s">
        <v>103</v>
      </c>
      <c r="D1" s="61" t="s">
        <v>104</v>
      </c>
      <c r="E1" s="61" t="s">
        <v>105</v>
      </c>
      <c r="F1" s="61" t="s">
        <v>106</v>
      </c>
      <c r="G1" s="61" t="s">
        <v>107</v>
      </c>
      <c r="H1" s="61" t="s">
        <v>108</v>
      </c>
      <c r="I1" s="61" t="s">
        <v>109</v>
      </c>
      <c r="J1" s="61" t="s">
        <v>110</v>
      </c>
      <c r="K1" s="61" t="s">
        <v>106</v>
      </c>
      <c r="L1" s="61" t="s">
        <v>41</v>
      </c>
      <c r="M1" s="61" t="s">
        <v>108</v>
      </c>
      <c r="N1" s="61" t="s">
        <v>109</v>
      </c>
      <c r="O1" s="61" t="s">
        <v>111</v>
      </c>
      <c r="P1" s="63" t="s">
        <v>94</v>
      </c>
      <c r="Q1" s="61" t="s">
        <v>112</v>
      </c>
      <c r="R1" s="61" t="s">
        <v>113</v>
      </c>
      <c r="S1" s="61"/>
      <c r="T1" s="61" t="s">
        <v>114</v>
      </c>
      <c r="U1" s="61" t="s">
        <v>115</v>
      </c>
      <c r="V1" s="61" t="s">
        <v>116</v>
      </c>
      <c r="W1" s="61" t="s">
        <v>117</v>
      </c>
      <c r="X1" s="61" t="s">
        <v>118</v>
      </c>
      <c r="Y1" s="61" t="s">
        <v>119</v>
      </c>
      <c r="Z1" s="61" t="s">
        <v>120</v>
      </c>
      <c r="AA1" s="61" t="s">
        <v>121</v>
      </c>
      <c r="AB1" s="61" t="s">
        <v>122</v>
      </c>
      <c r="AC1" s="61" t="s">
        <v>123</v>
      </c>
      <c r="AD1" s="61" t="s">
        <v>124</v>
      </c>
      <c r="AE1" s="61" t="s">
        <v>125</v>
      </c>
      <c r="AF1" s="61" t="s">
        <v>126</v>
      </c>
      <c r="AG1" s="61" t="s">
        <v>42</v>
      </c>
      <c r="AH1" s="61" t="s">
        <v>50</v>
      </c>
      <c r="AI1" s="61" t="s">
        <v>51</v>
      </c>
      <c r="AJ1" s="61" t="s">
        <v>96</v>
      </c>
      <c r="AK1" s="125" t="s">
        <v>53</v>
      </c>
      <c r="AL1" s="127" t="s">
        <v>56</v>
      </c>
    </row>
    <row r="2" spans="1:44" ht="16.5" customHeight="1">
      <c r="A2" s="169" t="s">
        <v>127</v>
      </c>
      <c r="B2" s="132" t="s">
        <v>128</v>
      </c>
      <c r="C2" s="169" t="s">
        <v>127</v>
      </c>
      <c r="D2" s="169" t="s">
        <v>127</v>
      </c>
      <c r="E2" s="132" t="s">
        <v>129</v>
      </c>
      <c r="F2" s="132"/>
      <c r="G2" s="170" t="s">
        <v>130</v>
      </c>
      <c r="H2" s="170" t="s">
        <v>131</v>
      </c>
      <c r="I2" s="170" t="s">
        <v>132</v>
      </c>
      <c r="J2" s="132" t="s">
        <v>133</v>
      </c>
      <c r="K2" s="132"/>
      <c r="L2" s="132" t="s">
        <v>134</v>
      </c>
      <c r="M2" s="170" t="s">
        <v>135</v>
      </c>
      <c r="N2" s="170" t="s">
        <v>136</v>
      </c>
      <c r="O2" s="132">
        <v>28800200</v>
      </c>
      <c r="P2" s="171">
        <v>26182000</v>
      </c>
      <c r="Q2" s="132">
        <v>2618200</v>
      </c>
      <c r="R2" s="170" t="s">
        <v>137</v>
      </c>
      <c r="S2" s="170"/>
      <c r="T2" s="170" t="s">
        <v>138</v>
      </c>
      <c r="U2" s="170" t="s">
        <v>139</v>
      </c>
      <c r="V2" s="170" t="s">
        <v>140</v>
      </c>
      <c r="W2" s="132" t="s">
        <v>141</v>
      </c>
      <c r="X2" s="132" t="s">
        <v>142</v>
      </c>
      <c r="Y2" s="132"/>
      <c r="Z2" s="132" t="s">
        <v>127</v>
      </c>
      <c r="AA2" s="170" t="s">
        <v>143</v>
      </c>
      <c r="AB2" s="132"/>
      <c r="AC2" s="132" t="s">
        <v>144</v>
      </c>
      <c r="AD2" s="132" t="s">
        <v>145</v>
      </c>
      <c r="AE2" s="132">
        <v>26182000</v>
      </c>
      <c r="AF2" s="132">
        <v>2618200</v>
      </c>
      <c r="AG2" s="170" t="s">
        <v>146</v>
      </c>
      <c r="AH2" s="162">
        <f t="shared" ref="AH2:AH19" si="0">IF(A2&lt;&gt;"", A2+30, "")</f>
        <v>46057</v>
      </c>
      <c r="AI2" s="132"/>
      <c r="AJ2" s="132"/>
      <c r="AK2" s="151">
        <f t="shared" ref="AK2:AK34" si="1">(P2*1.1)-AJ2</f>
        <v>28800200.000000004</v>
      </c>
      <c r="AL2" s="172" t="str">
        <f t="shared" ref="AL2:AL34" ca="1" si="2">IF(AND(AK2&lt;&gt;"",AK2&gt;0,AI2="",A2&lt;&gt;"",TODAY()&gt;A2+40),"확인요망","-")</f>
        <v>-</v>
      </c>
    </row>
    <row r="3" spans="1:44" ht="16.5" customHeight="1">
      <c r="A3" s="169" t="s">
        <v>127</v>
      </c>
      <c r="B3" s="132" t="s">
        <v>147</v>
      </c>
      <c r="C3" s="169" t="s">
        <v>127</v>
      </c>
      <c r="D3" s="169" t="s">
        <v>127</v>
      </c>
      <c r="E3" s="132" t="s">
        <v>129</v>
      </c>
      <c r="F3" s="132"/>
      <c r="G3" s="170" t="s">
        <v>130</v>
      </c>
      <c r="H3" s="170" t="s">
        <v>131</v>
      </c>
      <c r="I3" s="170" t="s">
        <v>132</v>
      </c>
      <c r="J3" s="132" t="s">
        <v>148</v>
      </c>
      <c r="K3" s="132"/>
      <c r="L3" s="132" t="s">
        <v>149</v>
      </c>
      <c r="M3" s="170" t="s">
        <v>150</v>
      </c>
      <c r="N3" s="170" t="s">
        <v>151</v>
      </c>
      <c r="O3" s="132">
        <v>1210000</v>
      </c>
      <c r="P3" s="171">
        <v>1100000</v>
      </c>
      <c r="Q3" s="132">
        <v>110000</v>
      </c>
      <c r="R3" s="170" t="s">
        <v>137</v>
      </c>
      <c r="S3" s="170"/>
      <c r="T3" s="170" t="s">
        <v>138</v>
      </c>
      <c r="U3" s="170" t="s">
        <v>139</v>
      </c>
      <c r="V3" s="170" t="s">
        <v>140</v>
      </c>
      <c r="W3" s="132" t="s">
        <v>141</v>
      </c>
      <c r="X3" s="132" t="s">
        <v>152</v>
      </c>
      <c r="Y3" s="132"/>
      <c r="Z3" s="132" t="s">
        <v>127</v>
      </c>
      <c r="AA3" s="170" t="s">
        <v>143</v>
      </c>
      <c r="AB3" s="132"/>
      <c r="AC3" s="132" t="s">
        <v>144</v>
      </c>
      <c r="AD3" s="132" t="s">
        <v>153</v>
      </c>
      <c r="AE3" s="132">
        <v>1100000</v>
      </c>
      <c r="AF3" s="132">
        <v>110000</v>
      </c>
      <c r="AG3" s="170" t="s">
        <v>154</v>
      </c>
      <c r="AH3" s="162">
        <f t="shared" si="0"/>
        <v>46057</v>
      </c>
      <c r="AI3" s="132"/>
      <c r="AJ3" s="132"/>
      <c r="AK3" s="151">
        <f t="shared" si="1"/>
        <v>1210000</v>
      </c>
      <c r="AL3" s="172" t="str">
        <f t="shared" ca="1" si="2"/>
        <v>-</v>
      </c>
    </row>
    <row r="4" spans="1:44" ht="16.5" customHeight="1">
      <c r="A4" s="169" t="s">
        <v>155</v>
      </c>
      <c r="B4" s="132" t="s">
        <v>156</v>
      </c>
      <c r="C4" s="169" t="s">
        <v>155</v>
      </c>
      <c r="D4" s="169" t="s">
        <v>155</v>
      </c>
      <c r="E4" s="132" t="s">
        <v>129</v>
      </c>
      <c r="F4" s="132"/>
      <c r="G4" s="170" t="s">
        <v>130</v>
      </c>
      <c r="H4" s="170" t="s">
        <v>131</v>
      </c>
      <c r="I4" s="170" t="s">
        <v>132</v>
      </c>
      <c r="J4" s="132" t="s">
        <v>133</v>
      </c>
      <c r="K4" s="132"/>
      <c r="L4" s="132" t="s">
        <v>134</v>
      </c>
      <c r="M4" s="170" t="s">
        <v>135</v>
      </c>
      <c r="N4" s="170" t="s">
        <v>136</v>
      </c>
      <c r="O4" s="132">
        <v>878900</v>
      </c>
      <c r="P4" s="171">
        <v>799000</v>
      </c>
      <c r="Q4" s="132">
        <v>79900</v>
      </c>
      <c r="R4" s="170" t="s">
        <v>137</v>
      </c>
      <c r="S4" s="170"/>
      <c r="T4" s="170" t="s">
        <v>138</v>
      </c>
      <c r="U4" s="170" t="s">
        <v>139</v>
      </c>
      <c r="V4" s="170" t="s">
        <v>140</v>
      </c>
      <c r="W4" s="132" t="s">
        <v>141</v>
      </c>
      <c r="X4" s="132" t="s">
        <v>142</v>
      </c>
      <c r="Y4" s="132"/>
      <c r="Z4" s="132" t="s">
        <v>155</v>
      </c>
      <c r="AA4" s="170" t="s">
        <v>143</v>
      </c>
      <c r="AB4" s="132"/>
      <c r="AC4" s="132" t="s">
        <v>144</v>
      </c>
      <c r="AD4" s="132" t="s">
        <v>157</v>
      </c>
      <c r="AE4" s="132">
        <v>799000</v>
      </c>
      <c r="AF4" s="132">
        <v>79900</v>
      </c>
      <c r="AG4" s="170" t="s">
        <v>146</v>
      </c>
      <c r="AH4" s="162">
        <f t="shared" si="0"/>
        <v>46058</v>
      </c>
      <c r="AI4" s="132"/>
      <c r="AJ4" s="132"/>
      <c r="AK4" s="151">
        <f t="shared" si="1"/>
        <v>878900.00000000012</v>
      </c>
      <c r="AL4" s="172" t="str">
        <f t="shared" ca="1" si="2"/>
        <v>-</v>
      </c>
    </row>
    <row r="5" spans="1:44" ht="16.5" customHeight="1">
      <c r="A5" s="169" t="s">
        <v>155</v>
      </c>
      <c r="B5" s="132" t="s">
        <v>158</v>
      </c>
      <c r="C5" s="169" t="s">
        <v>155</v>
      </c>
      <c r="D5" s="169" t="s">
        <v>155</v>
      </c>
      <c r="E5" s="132" t="s">
        <v>129</v>
      </c>
      <c r="F5" s="132"/>
      <c r="G5" s="170" t="s">
        <v>130</v>
      </c>
      <c r="H5" s="170" t="s">
        <v>131</v>
      </c>
      <c r="I5" s="170" t="s">
        <v>132</v>
      </c>
      <c r="J5" s="132" t="s">
        <v>159</v>
      </c>
      <c r="K5" s="132"/>
      <c r="L5" s="132" t="s">
        <v>160</v>
      </c>
      <c r="M5" s="170" t="s">
        <v>161</v>
      </c>
      <c r="N5" s="170" t="s">
        <v>162</v>
      </c>
      <c r="O5" s="132">
        <v>3773000</v>
      </c>
      <c r="P5" s="171">
        <v>3430000</v>
      </c>
      <c r="Q5" s="132">
        <v>343000</v>
      </c>
      <c r="R5" s="170" t="s">
        <v>137</v>
      </c>
      <c r="S5" s="170"/>
      <c r="T5" s="170" t="s">
        <v>138</v>
      </c>
      <c r="U5" s="170" t="s">
        <v>139</v>
      </c>
      <c r="V5" s="170" t="s">
        <v>140</v>
      </c>
      <c r="W5" s="132" t="s">
        <v>141</v>
      </c>
      <c r="X5" s="132" t="s">
        <v>163</v>
      </c>
      <c r="Y5" s="132"/>
      <c r="Z5" s="132" t="s">
        <v>155</v>
      </c>
      <c r="AA5" s="170" t="s">
        <v>143</v>
      </c>
      <c r="AB5" s="132"/>
      <c r="AC5" s="132" t="s">
        <v>144</v>
      </c>
      <c r="AD5" s="132" t="s">
        <v>164</v>
      </c>
      <c r="AE5" s="132">
        <v>3430000</v>
      </c>
      <c r="AF5" s="132">
        <v>343000</v>
      </c>
      <c r="AG5" s="170" t="s">
        <v>165</v>
      </c>
      <c r="AH5" s="162">
        <f t="shared" si="0"/>
        <v>46058</v>
      </c>
      <c r="AI5" s="132"/>
      <c r="AJ5" s="132"/>
      <c r="AK5" s="151">
        <f t="shared" si="1"/>
        <v>3773000.0000000005</v>
      </c>
      <c r="AL5" s="172" t="str">
        <f t="shared" ca="1" si="2"/>
        <v>-</v>
      </c>
    </row>
    <row r="6" spans="1:44" ht="16.5" customHeight="1">
      <c r="A6" s="169" t="s">
        <v>429</v>
      </c>
      <c r="B6" s="132" t="s">
        <v>430</v>
      </c>
      <c r="C6" s="169" t="s">
        <v>429</v>
      </c>
      <c r="D6" s="169" t="s">
        <v>429</v>
      </c>
      <c r="E6" s="132" t="s">
        <v>129</v>
      </c>
      <c r="F6" s="132" t="s">
        <v>431</v>
      </c>
      <c r="G6" s="132" t="s">
        <v>130</v>
      </c>
      <c r="H6" s="132" t="s">
        <v>131</v>
      </c>
      <c r="I6" s="132" t="s">
        <v>132</v>
      </c>
      <c r="J6" s="132" t="s">
        <v>432</v>
      </c>
      <c r="K6" s="132" t="s">
        <v>431</v>
      </c>
      <c r="L6" s="132" t="s">
        <v>433</v>
      </c>
      <c r="M6" s="132" t="s">
        <v>434</v>
      </c>
      <c r="N6" s="132" t="s">
        <v>435</v>
      </c>
      <c r="O6" s="132">
        <v>580800</v>
      </c>
      <c r="P6" s="171">
        <v>528000</v>
      </c>
      <c r="Q6" s="132">
        <v>52800</v>
      </c>
      <c r="R6" s="132" t="s">
        <v>137</v>
      </c>
      <c r="S6" s="132" t="s">
        <v>436</v>
      </c>
      <c r="T6" s="132" t="s">
        <v>138</v>
      </c>
      <c r="U6" s="132" t="s">
        <v>139</v>
      </c>
      <c r="V6" s="132" t="s">
        <v>140</v>
      </c>
      <c r="W6" s="132" t="s">
        <v>141</v>
      </c>
      <c r="X6" s="132" t="s">
        <v>437</v>
      </c>
      <c r="Y6" s="132" t="s">
        <v>431</v>
      </c>
      <c r="Z6" s="132" t="s">
        <v>429</v>
      </c>
      <c r="AA6" s="132" t="s">
        <v>143</v>
      </c>
      <c r="AB6" s="132" t="s">
        <v>431</v>
      </c>
      <c r="AC6" s="132" t="s">
        <v>144</v>
      </c>
      <c r="AD6" s="132" t="s">
        <v>438</v>
      </c>
      <c r="AE6" s="132">
        <v>528000</v>
      </c>
      <c r="AF6" s="132">
        <v>52800</v>
      </c>
      <c r="AG6" s="132" t="s">
        <v>439</v>
      </c>
      <c r="AH6" s="162">
        <f t="shared" si="0"/>
        <v>46060</v>
      </c>
      <c r="AI6" s="132"/>
      <c r="AJ6" s="132"/>
      <c r="AK6" s="151">
        <f t="shared" si="1"/>
        <v>580800</v>
      </c>
      <c r="AL6" s="172" t="str">
        <f t="shared" ca="1" si="2"/>
        <v>-</v>
      </c>
    </row>
    <row r="7" spans="1:44" ht="16.5" customHeight="1">
      <c r="A7" s="169"/>
      <c r="B7" s="132"/>
      <c r="C7" s="169"/>
      <c r="D7" s="169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71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62" t="str">
        <f t="shared" si="0"/>
        <v/>
      </c>
      <c r="AI7" s="132"/>
      <c r="AJ7" s="132"/>
      <c r="AK7" s="151">
        <f t="shared" si="1"/>
        <v>0</v>
      </c>
      <c r="AL7" s="172" t="str">
        <f t="shared" ca="1" si="2"/>
        <v>-</v>
      </c>
    </row>
    <row r="8" spans="1:44" ht="16.5" customHeight="1">
      <c r="A8" s="169"/>
      <c r="B8" s="132"/>
      <c r="C8" s="169"/>
      <c r="D8" s="169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71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62" t="str">
        <f t="shared" si="0"/>
        <v/>
      </c>
      <c r="AI8" s="132"/>
      <c r="AJ8" s="132"/>
      <c r="AK8" s="151">
        <f t="shared" si="1"/>
        <v>0</v>
      </c>
      <c r="AL8" s="172" t="str">
        <f t="shared" ca="1" si="2"/>
        <v>-</v>
      </c>
    </row>
    <row r="9" spans="1:44" ht="16.5" customHeight="1">
      <c r="A9" s="169"/>
      <c r="B9" s="132"/>
      <c r="C9" s="169"/>
      <c r="D9" s="169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71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62" t="str">
        <f t="shared" si="0"/>
        <v/>
      </c>
      <c r="AI9" s="132"/>
      <c r="AJ9" s="132"/>
      <c r="AK9" s="151">
        <f t="shared" si="1"/>
        <v>0</v>
      </c>
      <c r="AL9" s="172" t="str">
        <f t="shared" ca="1" si="2"/>
        <v>-</v>
      </c>
    </row>
    <row r="10" spans="1:44" ht="16.5" customHeight="1">
      <c r="A10" s="169"/>
      <c r="B10" s="132"/>
      <c r="C10" s="169"/>
      <c r="D10" s="169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71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62" t="str">
        <f t="shared" si="0"/>
        <v/>
      </c>
      <c r="AI10" s="132"/>
      <c r="AJ10" s="132"/>
      <c r="AK10" s="151">
        <f t="shared" si="1"/>
        <v>0</v>
      </c>
      <c r="AL10" s="172" t="str">
        <f t="shared" ca="1" si="2"/>
        <v>-</v>
      </c>
      <c r="AR10" s="173"/>
    </row>
    <row r="11" spans="1:44" ht="16.5" customHeight="1">
      <c r="A11" s="169"/>
      <c r="B11" s="132"/>
      <c r="C11" s="169"/>
      <c r="D11" s="169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71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62" t="str">
        <f t="shared" si="0"/>
        <v/>
      </c>
      <c r="AI11" s="132"/>
      <c r="AJ11" s="132"/>
      <c r="AK11" s="151">
        <f t="shared" si="1"/>
        <v>0</v>
      </c>
      <c r="AL11" s="172" t="str">
        <f t="shared" ca="1" si="2"/>
        <v>-</v>
      </c>
    </row>
    <row r="12" spans="1:44" ht="16.5" customHeight="1">
      <c r="A12" s="169"/>
      <c r="B12" s="132"/>
      <c r="C12" s="169"/>
      <c r="D12" s="169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71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62" t="str">
        <f t="shared" si="0"/>
        <v/>
      </c>
      <c r="AI12" s="132"/>
      <c r="AJ12" s="132"/>
      <c r="AK12" s="151">
        <f t="shared" si="1"/>
        <v>0</v>
      </c>
      <c r="AL12" s="172" t="str">
        <f t="shared" ca="1" si="2"/>
        <v>-</v>
      </c>
    </row>
    <row r="13" spans="1:44" ht="16.5" customHeight="1">
      <c r="A13" s="169"/>
      <c r="B13" s="132"/>
      <c r="C13" s="169"/>
      <c r="D13" s="169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71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62" t="str">
        <f t="shared" si="0"/>
        <v/>
      </c>
      <c r="AI13" s="132"/>
      <c r="AJ13" s="132"/>
      <c r="AK13" s="151">
        <f t="shared" si="1"/>
        <v>0</v>
      </c>
      <c r="AL13" s="172" t="str">
        <f t="shared" ca="1" si="2"/>
        <v>-</v>
      </c>
    </row>
    <row r="14" spans="1:44" ht="16.5" customHeight="1">
      <c r="A14" s="169"/>
      <c r="B14" s="132"/>
      <c r="C14" s="169"/>
      <c r="D14" s="169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71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62" t="str">
        <f t="shared" si="0"/>
        <v/>
      </c>
      <c r="AI14" s="132"/>
      <c r="AJ14" s="132"/>
      <c r="AK14" s="151">
        <f t="shared" si="1"/>
        <v>0</v>
      </c>
      <c r="AL14" s="172" t="str">
        <f t="shared" ca="1" si="2"/>
        <v>-</v>
      </c>
      <c r="AP14" s="173"/>
    </row>
    <row r="15" spans="1:44" ht="16.5" customHeight="1">
      <c r="A15" s="169"/>
      <c r="B15" s="132"/>
      <c r="C15" s="169"/>
      <c r="D15" s="169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71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62" t="str">
        <f t="shared" si="0"/>
        <v/>
      </c>
      <c r="AI15" s="132"/>
      <c r="AJ15" s="132"/>
      <c r="AK15" s="151">
        <f t="shared" si="1"/>
        <v>0</v>
      </c>
      <c r="AL15" s="172" t="str">
        <f t="shared" ca="1" si="2"/>
        <v>-</v>
      </c>
    </row>
    <row r="16" spans="1:44" ht="16.5" customHeight="1">
      <c r="A16" s="169"/>
      <c r="B16" s="132"/>
      <c r="C16" s="169"/>
      <c r="D16" s="169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71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62" t="str">
        <f t="shared" si="0"/>
        <v/>
      </c>
      <c r="AI16" s="132"/>
      <c r="AJ16" s="132"/>
      <c r="AK16" s="151">
        <f t="shared" si="1"/>
        <v>0</v>
      </c>
      <c r="AL16" s="172" t="str">
        <f t="shared" ca="1" si="2"/>
        <v>-</v>
      </c>
    </row>
    <row r="17" spans="1:38" ht="16.5" customHeight="1">
      <c r="A17" s="169"/>
      <c r="B17" s="132"/>
      <c r="C17" s="169"/>
      <c r="D17" s="169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71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62" t="str">
        <f t="shared" si="0"/>
        <v/>
      </c>
      <c r="AI17" s="132"/>
      <c r="AJ17" s="132"/>
      <c r="AK17" s="151">
        <f t="shared" si="1"/>
        <v>0</v>
      </c>
      <c r="AL17" s="172" t="str">
        <f t="shared" ca="1" si="2"/>
        <v>-</v>
      </c>
    </row>
    <row r="18" spans="1:38" ht="16.5" customHeight="1">
      <c r="A18" s="169"/>
      <c r="B18" s="132"/>
      <c r="C18" s="169"/>
      <c r="D18" s="169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71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62" t="str">
        <f t="shared" si="0"/>
        <v/>
      </c>
      <c r="AI18" s="132"/>
      <c r="AJ18" s="132"/>
      <c r="AK18" s="151">
        <f t="shared" si="1"/>
        <v>0</v>
      </c>
      <c r="AL18" s="172" t="str">
        <f t="shared" ca="1" si="2"/>
        <v>-</v>
      </c>
    </row>
    <row r="19" spans="1:38" ht="16.5" customHeight="1">
      <c r="A19" s="169"/>
      <c r="B19" s="132"/>
      <c r="C19" s="169"/>
      <c r="D19" s="169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71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62" t="str">
        <f t="shared" si="0"/>
        <v/>
      </c>
      <c r="AI19" s="132"/>
      <c r="AJ19" s="132"/>
      <c r="AK19" s="151">
        <f t="shared" si="1"/>
        <v>0</v>
      </c>
      <c r="AL19" s="172" t="str">
        <f t="shared" ca="1" si="2"/>
        <v>-</v>
      </c>
    </row>
    <row r="20" spans="1:38" ht="16.5" customHeight="1">
      <c r="A20" s="169"/>
      <c r="B20" s="132"/>
      <c r="C20" s="169"/>
      <c r="D20" s="169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71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74" t="str">
        <f t="shared" ref="AH15:AH34" si="3">IF(A20&lt;&gt;"", A20+45, "")</f>
        <v/>
      </c>
      <c r="AI20" s="132"/>
      <c r="AJ20" s="132"/>
      <c r="AK20" s="151">
        <f t="shared" si="1"/>
        <v>0</v>
      </c>
      <c r="AL20" s="172" t="str">
        <f t="shared" ca="1" si="2"/>
        <v>-</v>
      </c>
    </row>
    <row r="21" spans="1:38" ht="16.5" customHeight="1">
      <c r="A21" s="169"/>
      <c r="B21" s="132"/>
      <c r="C21" s="169"/>
      <c r="D21" s="169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71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74" t="str">
        <f t="shared" si="3"/>
        <v/>
      </c>
      <c r="AI21" s="132"/>
      <c r="AJ21" s="132"/>
      <c r="AK21" s="151">
        <f t="shared" si="1"/>
        <v>0</v>
      </c>
      <c r="AL21" s="172" t="str">
        <f t="shared" ca="1" si="2"/>
        <v>-</v>
      </c>
    </row>
    <row r="22" spans="1:38" ht="16.5" customHeight="1">
      <c r="A22" s="169"/>
      <c r="B22" s="132"/>
      <c r="C22" s="169"/>
      <c r="D22" s="169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71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H22" s="174" t="str">
        <f t="shared" si="3"/>
        <v/>
      </c>
      <c r="AI22" s="132"/>
      <c r="AJ22" s="132"/>
      <c r="AK22" s="151">
        <f t="shared" si="1"/>
        <v>0</v>
      </c>
      <c r="AL22" s="172" t="str">
        <f t="shared" ca="1" si="2"/>
        <v>-</v>
      </c>
    </row>
    <row r="23" spans="1:38" ht="16.5" customHeight="1">
      <c r="A23" s="169"/>
      <c r="B23" s="132"/>
      <c r="C23" s="169"/>
      <c r="D23" s="169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71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74" t="str">
        <f t="shared" si="3"/>
        <v/>
      </c>
      <c r="AI23" s="132"/>
      <c r="AJ23" s="132"/>
      <c r="AK23" s="151">
        <f t="shared" si="1"/>
        <v>0</v>
      </c>
      <c r="AL23" s="172" t="str">
        <f t="shared" ca="1" si="2"/>
        <v>-</v>
      </c>
    </row>
    <row r="24" spans="1:38" ht="16.5" customHeight="1">
      <c r="A24" s="169"/>
      <c r="B24" s="132"/>
      <c r="C24" s="169"/>
      <c r="D24" s="169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71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74" t="str">
        <f t="shared" si="3"/>
        <v/>
      </c>
      <c r="AI24" s="132"/>
      <c r="AJ24" s="132"/>
      <c r="AK24" s="151">
        <f t="shared" si="1"/>
        <v>0</v>
      </c>
      <c r="AL24" s="172" t="str">
        <f t="shared" ca="1" si="2"/>
        <v>-</v>
      </c>
    </row>
    <row r="25" spans="1:38" ht="16.5" customHeight="1">
      <c r="A25" s="169"/>
      <c r="B25" s="132"/>
      <c r="C25" s="169"/>
      <c r="D25" s="169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71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74" t="str">
        <f t="shared" si="3"/>
        <v/>
      </c>
      <c r="AI25" s="132"/>
      <c r="AJ25" s="132"/>
      <c r="AK25" s="151">
        <f t="shared" si="1"/>
        <v>0</v>
      </c>
      <c r="AL25" s="172" t="str">
        <f t="shared" ca="1" si="2"/>
        <v>-</v>
      </c>
    </row>
    <row r="26" spans="1:38" ht="16.5" customHeight="1">
      <c r="A26" s="169"/>
      <c r="B26" s="132"/>
      <c r="C26" s="169"/>
      <c r="D26" s="169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71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74" t="str">
        <f t="shared" si="3"/>
        <v/>
      </c>
      <c r="AI26" s="132"/>
      <c r="AJ26" s="132"/>
      <c r="AK26" s="151">
        <f t="shared" si="1"/>
        <v>0</v>
      </c>
      <c r="AL26" s="172" t="str">
        <f t="shared" ca="1" si="2"/>
        <v>-</v>
      </c>
    </row>
    <row r="27" spans="1:38" ht="16.5" customHeight="1">
      <c r="A27" s="169"/>
      <c r="B27" s="132"/>
      <c r="C27" s="169"/>
      <c r="D27" s="169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71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74" t="str">
        <f t="shared" si="3"/>
        <v/>
      </c>
      <c r="AI27" s="132"/>
      <c r="AJ27" s="132"/>
      <c r="AK27" s="151">
        <f t="shared" si="1"/>
        <v>0</v>
      </c>
      <c r="AL27" s="172" t="str">
        <f t="shared" ca="1" si="2"/>
        <v>-</v>
      </c>
    </row>
    <row r="28" spans="1:38" ht="16.5" customHeight="1">
      <c r="A28" s="169"/>
      <c r="B28" s="132"/>
      <c r="C28" s="169"/>
      <c r="D28" s="169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71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74" t="str">
        <f t="shared" si="3"/>
        <v/>
      </c>
      <c r="AI28" s="132"/>
      <c r="AJ28" s="132"/>
      <c r="AK28" s="151">
        <f t="shared" si="1"/>
        <v>0</v>
      </c>
      <c r="AL28" s="172" t="str">
        <f t="shared" ca="1" si="2"/>
        <v>-</v>
      </c>
    </row>
    <row r="29" spans="1:38" ht="16.5" customHeight="1">
      <c r="A29" s="169"/>
      <c r="B29" s="132"/>
      <c r="C29" s="169"/>
      <c r="D29" s="169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71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74" t="str">
        <f t="shared" si="3"/>
        <v/>
      </c>
      <c r="AI29" s="132"/>
      <c r="AJ29" s="132"/>
      <c r="AK29" s="151">
        <f t="shared" si="1"/>
        <v>0</v>
      </c>
      <c r="AL29" s="172" t="str">
        <f t="shared" ca="1" si="2"/>
        <v>-</v>
      </c>
    </row>
    <row r="30" spans="1:38" ht="16.5" customHeight="1">
      <c r="A30" s="169"/>
      <c r="B30" s="132"/>
      <c r="C30" s="169"/>
      <c r="D30" s="169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71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74" t="str">
        <f t="shared" si="3"/>
        <v/>
      </c>
      <c r="AI30" s="132"/>
      <c r="AJ30" s="132"/>
      <c r="AK30" s="151">
        <f t="shared" si="1"/>
        <v>0</v>
      </c>
      <c r="AL30" s="172" t="str">
        <f t="shared" ca="1" si="2"/>
        <v>-</v>
      </c>
    </row>
    <row r="31" spans="1:38" ht="16.5" customHeight="1">
      <c r="A31" s="169"/>
      <c r="B31" s="132"/>
      <c r="C31" s="169"/>
      <c r="D31" s="169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71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74" t="str">
        <f t="shared" si="3"/>
        <v/>
      </c>
      <c r="AI31" s="132"/>
      <c r="AJ31" s="132"/>
      <c r="AK31" s="151">
        <f t="shared" si="1"/>
        <v>0</v>
      </c>
      <c r="AL31" s="172" t="str">
        <f t="shared" ca="1" si="2"/>
        <v>-</v>
      </c>
    </row>
    <row r="32" spans="1:38" ht="16.5" customHeight="1">
      <c r="A32" s="169"/>
      <c r="B32" s="132"/>
      <c r="C32" s="169"/>
      <c r="D32" s="169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71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74" t="str">
        <f t="shared" si="3"/>
        <v/>
      </c>
      <c r="AI32" s="132"/>
      <c r="AJ32" s="132"/>
      <c r="AK32" s="151">
        <f t="shared" si="1"/>
        <v>0</v>
      </c>
      <c r="AL32" s="172" t="str">
        <f t="shared" ca="1" si="2"/>
        <v>-</v>
      </c>
    </row>
    <row r="33" spans="1:38" ht="16.5" customHeight="1">
      <c r="A33" s="169"/>
      <c r="B33" s="132"/>
      <c r="C33" s="169"/>
      <c r="D33" s="169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71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74" t="str">
        <f t="shared" si="3"/>
        <v/>
      </c>
      <c r="AI33" s="132"/>
      <c r="AJ33" s="132"/>
      <c r="AK33" s="151">
        <f t="shared" si="1"/>
        <v>0</v>
      </c>
      <c r="AL33" s="172" t="str">
        <f t="shared" ca="1" si="2"/>
        <v>-</v>
      </c>
    </row>
    <row r="34" spans="1:38" ht="16.5" customHeight="1">
      <c r="A34" s="169"/>
      <c r="B34" s="132"/>
      <c r="C34" s="169"/>
      <c r="D34" s="169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71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74" t="str">
        <f t="shared" si="3"/>
        <v/>
      </c>
      <c r="AI34" s="132"/>
      <c r="AJ34" s="132"/>
      <c r="AK34" s="151">
        <f t="shared" si="1"/>
        <v>0</v>
      </c>
      <c r="AL34" s="172" t="str">
        <f t="shared" ca="1" si="2"/>
        <v>-</v>
      </c>
    </row>
    <row r="35" spans="1:38" ht="16.5" customHeight="1"/>
    <row r="36" spans="1:38" ht="16.5" customHeight="1"/>
    <row r="37" spans="1:38" ht="16.5" customHeight="1"/>
    <row r="38" spans="1:38" ht="16.5" customHeight="1"/>
    <row r="39" spans="1:38" ht="16.5" customHeight="1"/>
    <row r="40" spans="1:38" ht="16.5" customHeight="1"/>
    <row r="41" spans="1:38" ht="16.5" customHeight="1"/>
    <row r="42" spans="1:38" ht="16.5" customHeight="1"/>
    <row r="43" spans="1:38" ht="16.5" customHeight="1"/>
    <row r="44" spans="1:38" ht="16.5" customHeight="1"/>
    <row r="45" spans="1:38" ht="16.5" customHeight="1"/>
    <row r="46" spans="1:38" ht="16.5" customHeight="1"/>
    <row r="47" spans="1:38" ht="16.5" customHeight="1"/>
    <row r="48" spans="1:3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</sheetData>
  <phoneticPr fontId="47" type="noConversion"/>
  <conditionalFormatting sqref="A2:AK2 AK15:AL34 A22:AF23 AH22:AJ23 A24:AJ34">
    <cfRule type="expression" dxfId="21" priority="4">
      <formula>$J2="잔금"</formula>
    </cfRule>
  </conditionalFormatting>
  <conditionalFormatting sqref="AG23">
    <cfRule type="expression" dxfId="20" priority="5">
      <formula>$J22="잔금"</formula>
    </cfRule>
  </conditionalFormatting>
  <conditionalFormatting sqref="AK2:AK34">
    <cfRule type="expression" dxfId="19" priority="2">
      <formula>$J2="잔금"</formula>
    </cfRule>
  </conditionalFormatting>
  <conditionalFormatting sqref="A3:AJ21 AL2:AL14">
    <cfRule type="expression" dxfId="18" priority="3">
      <formula>$J2="잔금"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161"/>
  <sheetViews>
    <sheetView showGridLines="0" topLeftCell="A133" zoomScale="60" zoomScaleNormal="60" workbookViewId="0">
      <selection activeCell="D147" sqref="D147"/>
    </sheetView>
  </sheetViews>
  <sheetFormatPr defaultColWidth="8.5" defaultRowHeight="16.5"/>
  <cols>
    <col min="1" max="1" width="16.875" style="4" customWidth="1"/>
    <col min="2" max="2" width="27.25" style="4" customWidth="1"/>
    <col min="3" max="3" width="34.25" style="4" customWidth="1"/>
    <col min="4" max="4" width="53.125" style="4" customWidth="1"/>
    <col min="5" max="5" width="30" style="4" customWidth="1"/>
    <col min="6" max="6" width="28.5" style="4" customWidth="1"/>
    <col min="7" max="7" width="29.75" style="4" customWidth="1"/>
    <col min="8" max="10" width="21.75" style="4" customWidth="1"/>
    <col min="11" max="11" width="33.625" style="4" customWidth="1"/>
    <col min="12" max="12" width="32.5" style="4" customWidth="1"/>
    <col min="13" max="15" width="23.25" style="4" customWidth="1"/>
    <col min="16" max="16" width="36.375" style="4" customWidth="1"/>
    <col min="17" max="17" width="29.75" style="4" customWidth="1"/>
    <col min="18" max="19" width="23.25" style="4" customWidth="1"/>
    <col min="20" max="20" width="26" style="4" customWidth="1"/>
    <col min="21" max="21" width="39.5" style="4" customWidth="1"/>
    <col min="22" max="22" width="40.125" style="4" customWidth="1"/>
    <col min="23" max="23" width="32.5" style="4" customWidth="1"/>
    <col min="24" max="24" width="29.75" style="4" customWidth="1"/>
    <col min="25" max="25" width="33.625" style="4" customWidth="1"/>
    <col min="26" max="26" width="25.125" style="4" customWidth="1"/>
    <col min="27" max="28" width="26" style="4" customWidth="1"/>
    <col min="29" max="29" width="44.25" style="4" customWidth="1"/>
    <col min="30" max="31" width="22.625" style="4" customWidth="1"/>
    <col min="32" max="32" width="25.125" style="4" customWidth="1"/>
    <col min="33" max="33" width="40.375" style="4" customWidth="1"/>
    <col min="34" max="34" width="32.5" style="4" customWidth="1"/>
    <col min="36" max="36" width="31.5" style="4" customWidth="1"/>
    <col min="37" max="37" width="37" style="4" customWidth="1"/>
    <col min="38" max="38" width="32.5" style="4" customWidth="1"/>
    <col min="39" max="39" width="29.75" style="4" customWidth="1"/>
    <col min="40" max="40" width="28.75" style="4" customWidth="1"/>
    <col min="41" max="42" width="26.625" style="4" customWidth="1"/>
    <col min="43" max="44" width="29.75" style="4" customWidth="1"/>
    <col min="49" max="54" width="29.125" style="4" customWidth="1"/>
  </cols>
  <sheetData>
    <row r="1" spans="1:54" ht="93.75" customHeight="1">
      <c r="A1" s="175"/>
      <c r="B1" s="176"/>
      <c r="C1" s="175"/>
      <c r="D1" s="177"/>
      <c r="E1" s="175"/>
      <c r="F1" s="178"/>
      <c r="G1" s="179"/>
      <c r="H1" s="180"/>
      <c r="I1" s="180"/>
      <c r="J1" s="180"/>
      <c r="K1" s="179"/>
      <c r="L1" s="179"/>
      <c r="M1" s="180"/>
      <c r="N1" s="180"/>
      <c r="O1" s="180"/>
      <c r="P1" s="179"/>
      <c r="Q1" s="179"/>
      <c r="R1" s="180"/>
      <c r="S1" s="180"/>
      <c r="T1" s="180"/>
      <c r="U1" s="179"/>
      <c r="V1" s="179"/>
      <c r="W1" s="179"/>
      <c r="X1" s="179"/>
      <c r="Y1" s="181"/>
      <c r="Z1" s="182"/>
      <c r="AA1" s="182"/>
      <c r="AB1" s="182"/>
      <c r="AC1" s="182"/>
      <c r="AD1" s="183"/>
      <c r="AE1" s="183"/>
      <c r="AF1" s="181"/>
      <c r="AG1" s="181"/>
      <c r="AH1" s="181"/>
      <c r="AI1" s="175"/>
      <c r="AJ1" s="175"/>
      <c r="AK1" s="181"/>
      <c r="AL1" s="181"/>
      <c r="AM1" s="181"/>
      <c r="AN1" s="181"/>
      <c r="AO1" s="181"/>
      <c r="AP1" s="181"/>
      <c r="AQ1" s="181"/>
      <c r="AR1" s="181"/>
    </row>
    <row r="2" spans="1:54" ht="93.75" customHeight="1" thickBot="1">
      <c r="A2" s="175"/>
      <c r="B2" s="184"/>
      <c r="C2" s="175"/>
      <c r="D2" s="177"/>
      <c r="E2" s="175"/>
      <c r="F2" s="175"/>
      <c r="G2" s="181"/>
      <c r="H2" s="182"/>
      <c r="I2" s="182"/>
      <c r="J2" s="182"/>
      <c r="K2" s="181"/>
      <c r="L2" s="181"/>
      <c r="M2" s="182"/>
      <c r="N2" s="182"/>
      <c r="O2" s="182"/>
      <c r="P2" s="181"/>
      <c r="Q2" s="181"/>
      <c r="R2" s="182"/>
      <c r="S2" s="182"/>
      <c r="T2" s="182"/>
      <c r="U2" s="181"/>
      <c r="V2" s="181"/>
      <c r="W2" s="181"/>
      <c r="X2" s="181"/>
      <c r="Y2" s="181"/>
      <c r="Z2" s="182"/>
      <c r="AA2" s="182"/>
      <c r="AB2" s="182"/>
      <c r="AC2" s="182"/>
      <c r="AD2" s="183"/>
      <c r="AE2" s="183"/>
      <c r="AF2" s="181"/>
      <c r="AG2" s="181"/>
      <c r="AH2" s="181"/>
      <c r="AI2" s="175"/>
      <c r="AJ2" s="175"/>
      <c r="AK2" s="181"/>
      <c r="AL2" s="181"/>
      <c r="AM2" s="181"/>
      <c r="AN2" s="181"/>
      <c r="AO2" s="181"/>
      <c r="AP2" s="181"/>
      <c r="AQ2" s="181"/>
      <c r="AR2" s="181"/>
    </row>
    <row r="3" spans="1:54" s="186" customFormat="1" ht="24.75" customHeight="1" thickBot="1">
      <c r="A3" s="354" t="s">
        <v>166</v>
      </c>
      <c r="B3" s="354"/>
      <c r="C3" s="354"/>
      <c r="D3" s="354"/>
      <c r="E3" s="354"/>
      <c r="F3" s="354"/>
      <c r="G3" s="355" t="s">
        <v>167</v>
      </c>
      <c r="H3" s="355"/>
      <c r="I3" s="355"/>
      <c r="J3" s="355"/>
      <c r="K3" s="355"/>
      <c r="L3" s="356" t="s">
        <v>168</v>
      </c>
      <c r="M3" s="356"/>
      <c r="N3" s="356"/>
      <c r="O3" s="356"/>
      <c r="P3" s="356"/>
      <c r="Q3" s="357" t="s">
        <v>169</v>
      </c>
      <c r="R3" s="357"/>
      <c r="S3" s="357"/>
      <c r="T3" s="357"/>
      <c r="U3" s="357"/>
      <c r="V3" s="333"/>
      <c r="W3" s="358" t="s">
        <v>76</v>
      </c>
      <c r="X3" s="358"/>
      <c r="Y3" s="358"/>
      <c r="Z3" s="358"/>
      <c r="AA3" s="358"/>
      <c r="AB3" s="358"/>
      <c r="AC3" s="358"/>
      <c r="AD3" s="358"/>
      <c r="AE3" s="328"/>
      <c r="AF3" s="334"/>
      <c r="AG3" s="334"/>
      <c r="AH3" s="335"/>
      <c r="AI3" s="185"/>
      <c r="AJ3" s="359" t="s">
        <v>170</v>
      </c>
      <c r="AK3" s="359"/>
      <c r="AL3" s="359"/>
      <c r="AM3" s="359"/>
      <c r="AN3" s="360" t="s">
        <v>171</v>
      </c>
      <c r="AO3" s="360"/>
      <c r="AP3" s="360"/>
      <c r="AQ3" s="360"/>
      <c r="AR3" s="361" t="s">
        <v>65</v>
      </c>
      <c r="AW3" s="359" t="s">
        <v>172</v>
      </c>
      <c r="AX3" s="359"/>
      <c r="AY3" s="359"/>
      <c r="AZ3" s="362" t="s">
        <v>173</v>
      </c>
      <c r="BA3" s="362"/>
      <c r="BB3" s="362"/>
    </row>
    <row r="4" spans="1:54" s="186" customFormat="1" ht="24.75" customHeight="1" thickBot="1">
      <c r="A4" s="259" t="s">
        <v>174</v>
      </c>
      <c r="B4" s="187" t="s">
        <v>48</v>
      </c>
      <c r="C4" s="188" t="s">
        <v>41</v>
      </c>
      <c r="D4" s="189" t="s">
        <v>42</v>
      </c>
      <c r="E4" s="188" t="s">
        <v>43</v>
      </c>
      <c r="F4" s="190" t="s">
        <v>175</v>
      </c>
      <c r="G4" s="191" t="s">
        <v>176</v>
      </c>
      <c r="H4" s="192" t="s">
        <v>177</v>
      </c>
      <c r="I4" s="193" t="s">
        <v>178</v>
      </c>
      <c r="J4" s="192" t="s">
        <v>179</v>
      </c>
      <c r="K4" s="194" t="s">
        <v>180</v>
      </c>
      <c r="L4" s="194" t="s">
        <v>181</v>
      </c>
      <c r="M4" s="192" t="s">
        <v>182</v>
      </c>
      <c r="N4" s="192" t="s">
        <v>183</v>
      </c>
      <c r="O4" s="192" t="s">
        <v>184</v>
      </c>
      <c r="P4" s="194" t="s">
        <v>185</v>
      </c>
      <c r="Q4" s="195" t="s">
        <v>186</v>
      </c>
      <c r="R4" s="196" t="s">
        <v>187</v>
      </c>
      <c r="S4" s="196" t="s">
        <v>188</v>
      </c>
      <c r="T4" s="196" t="s">
        <v>189</v>
      </c>
      <c r="U4" s="197" t="s">
        <v>190</v>
      </c>
      <c r="V4" s="198" t="s">
        <v>191</v>
      </c>
      <c r="W4" s="199" t="s">
        <v>192</v>
      </c>
      <c r="X4" s="194" t="s">
        <v>193</v>
      </c>
      <c r="Y4" s="194" t="s">
        <v>194</v>
      </c>
      <c r="Z4" s="193" t="s">
        <v>195</v>
      </c>
      <c r="AA4" s="192" t="s">
        <v>196</v>
      </c>
      <c r="AB4" s="192" t="s">
        <v>197</v>
      </c>
      <c r="AC4" s="193" t="s">
        <v>198</v>
      </c>
      <c r="AD4" s="200" t="s">
        <v>199</v>
      </c>
      <c r="AE4" s="330" t="s">
        <v>428</v>
      </c>
      <c r="AF4" s="201" t="s">
        <v>200</v>
      </c>
      <c r="AG4" s="202" t="s">
        <v>201</v>
      </c>
      <c r="AH4" s="336" t="s">
        <v>202</v>
      </c>
      <c r="AI4" s="185"/>
      <c r="AJ4" s="203" t="s">
        <v>57</v>
      </c>
      <c r="AK4" s="194" t="s">
        <v>58</v>
      </c>
      <c r="AL4" s="194" t="s">
        <v>59</v>
      </c>
      <c r="AM4" s="194" t="s">
        <v>60</v>
      </c>
      <c r="AN4" s="194" t="s">
        <v>61</v>
      </c>
      <c r="AO4" s="194" t="s">
        <v>62</v>
      </c>
      <c r="AP4" s="194" t="s">
        <v>63</v>
      </c>
      <c r="AQ4" s="194" t="s">
        <v>64</v>
      </c>
      <c r="AR4" s="361"/>
      <c r="AW4" s="191" t="s">
        <v>203</v>
      </c>
      <c r="AX4" s="204" t="s">
        <v>70</v>
      </c>
      <c r="AY4" s="205" t="s">
        <v>68</v>
      </c>
      <c r="AZ4" s="206" t="s">
        <v>203</v>
      </c>
      <c r="BA4" s="204" t="s">
        <v>70</v>
      </c>
      <c r="BB4" s="207" t="s">
        <v>68</v>
      </c>
    </row>
    <row r="5" spans="1:54" s="186" customFormat="1" ht="24.75" customHeight="1" thickTop="1">
      <c r="A5" s="337">
        <v>1</v>
      </c>
      <c r="B5" s="208">
        <v>45930</v>
      </c>
      <c r="C5" s="209" t="s">
        <v>204</v>
      </c>
      <c r="D5" s="210" t="s">
        <v>205</v>
      </c>
      <c r="E5" s="209">
        <v>239000000</v>
      </c>
      <c r="F5" s="211">
        <f>E5-AL5</f>
        <v>154976000</v>
      </c>
      <c r="G5" s="212">
        <f>F5*20%</f>
        <v>30995200</v>
      </c>
      <c r="H5" s="213">
        <v>45930</v>
      </c>
      <c r="I5" s="214">
        <v>45945</v>
      </c>
      <c r="J5" s="213">
        <v>45959</v>
      </c>
      <c r="K5" s="215">
        <f>IF(COUNT(J5),0,G5)</f>
        <v>0</v>
      </c>
      <c r="L5" s="216">
        <f>F5*40%</f>
        <v>61990400</v>
      </c>
      <c r="M5" s="213">
        <v>45978</v>
      </c>
      <c r="N5" s="214">
        <v>46006</v>
      </c>
      <c r="O5" s="213">
        <v>46000</v>
      </c>
      <c r="P5" s="217">
        <f>IF(COUNT(O5),0,L5)</f>
        <v>0</v>
      </c>
      <c r="Q5" s="212"/>
      <c r="R5" s="213"/>
      <c r="S5" s="213"/>
      <c r="T5" s="213"/>
      <c r="U5" s="218">
        <f>IF(COUNT(T5),0,Q5)</f>
        <v>0</v>
      </c>
      <c r="V5" s="215">
        <f>표1_3[[#This Row],[금액]]+표1_3[[#This Row],[금액2]]</f>
        <v>92985600</v>
      </c>
      <c r="W5" s="219">
        <f>F5*40%</f>
        <v>61990400</v>
      </c>
      <c r="X5" s="218">
        <f>AR5</f>
        <v>20752000</v>
      </c>
      <c r="Y5" s="218">
        <f>W5-X5</f>
        <v>41238400</v>
      </c>
      <c r="Z5" s="213">
        <v>46000</v>
      </c>
      <c r="AA5" s="213">
        <v>46022</v>
      </c>
      <c r="AB5" s="220">
        <v>46037</v>
      </c>
      <c r="AC5" s="213"/>
      <c r="AD5" s="221"/>
      <c r="AE5" s="331">
        <f t="shared" ref="AE5:AE21" si="0">IF(COUNT(AC5),0,Y5)</f>
        <v>41238400</v>
      </c>
      <c r="AF5" s="218"/>
      <c r="AG5" s="215">
        <f>(K5+P5+표1_3[[#This Row],[미수금액2]])-AH5</f>
        <v>41238400</v>
      </c>
      <c r="AH5" s="224">
        <f>SUM(IF(COUNTBLANK(H5),G5,0),IF(COUNTBLANK(M5),L5,0),IF(COUNTBLANK(AA5),Y5,0))</f>
        <v>0</v>
      </c>
      <c r="AI5" s="222"/>
      <c r="AJ5" s="223" t="s">
        <v>206</v>
      </c>
      <c r="AK5" s="218">
        <v>12000</v>
      </c>
      <c r="AL5" s="218">
        <v>84024000</v>
      </c>
      <c r="AM5" s="215">
        <v>19252000</v>
      </c>
      <c r="AN5" s="212"/>
      <c r="AO5" s="218"/>
      <c r="AP5" s="218">
        <v>1500000</v>
      </c>
      <c r="AQ5" s="215"/>
      <c r="AR5" s="224">
        <f>SUM(AM5:AQ5)</f>
        <v>20752000</v>
      </c>
      <c r="AW5" s="225">
        <v>120267500</v>
      </c>
      <c r="AX5" s="226">
        <f>표1_3[[#This Row],[총실행가]]-AL5-AR5-AW5</f>
        <v>13956500</v>
      </c>
      <c r="AY5" s="227">
        <f>AX5/표1_3[[#This Row],[총실행가]]</f>
        <v>5.8395397489539751E-2</v>
      </c>
      <c r="AZ5" s="228">
        <v>50186700</v>
      </c>
      <c r="BA5" s="226">
        <f>표1_3[[#This Row],[총실행가]]-AL5-AR5-AZ5</f>
        <v>84037300</v>
      </c>
      <c r="BB5" s="229">
        <f>BA5/표1_3[[#This Row],[총실행가]]</f>
        <v>0.3516205020920502</v>
      </c>
    </row>
    <row r="6" spans="1:54" s="186" customFormat="1" ht="24.75" customHeight="1">
      <c r="A6" s="337">
        <v>2</v>
      </c>
      <c r="B6" s="208">
        <v>45944</v>
      </c>
      <c r="C6" s="209" t="s">
        <v>207</v>
      </c>
      <c r="D6" s="210" t="s">
        <v>208</v>
      </c>
      <c r="E6" s="209">
        <f>189500000+9500000</f>
        <v>199000000</v>
      </c>
      <c r="F6" s="211">
        <f>E6-AL6</f>
        <v>130228000</v>
      </c>
      <c r="G6" s="212">
        <v>36218400</v>
      </c>
      <c r="H6" s="213">
        <v>45945</v>
      </c>
      <c r="I6" s="214">
        <v>45961</v>
      </c>
      <c r="J6" s="213">
        <v>46022</v>
      </c>
      <c r="K6" s="215">
        <f>IF(COUNT(J6),0,G6)</f>
        <v>0</v>
      </c>
      <c r="L6" s="216">
        <v>48291200</v>
      </c>
      <c r="M6" s="213">
        <v>45980</v>
      </c>
      <c r="N6" s="220">
        <v>45989</v>
      </c>
      <c r="O6" s="213"/>
      <c r="P6" s="217">
        <f>IF(COUNT(O6),0,L6)</f>
        <v>48291200</v>
      </c>
      <c r="Q6" s="212"/>
      <c r="R6" s="213"/>
      <c r="S6" s="213"/>
      <c r="T6" s="213"/>
      <c r="U6" s="218">
        <f>IF(COUNT(T6),0,Q6)</f>
        <v>0</v>
      </c>
      <c r="V6" s="215">
        <f>표1_3[[#This Row],[금액]]</f>
        <v>36218400</v>
      </c>
      <c r="W6" s="218">
        <f>표1_3[[#This Row],[컨설팅
금액]]-표1_3[[#This Row],[금액]]-표1_3[[#This Row],[금액2]]</f>
        <v>45718400</v>
      </c>
      <c r="X6" s="218">
        <f>AR6</f>
        <v>7479000</v>
      </c>
      <c r="Y6" s="218">
        <f>W6-X6</f>
        <v>38239400</v>
      </c>
      <c r="Z6" s="213">
        <v>46002</v>
      </c>
      <c r="AA6" s="213">
        <v>46015</v>
      </c>
      <c r="AB6" s="220">
        <v>46022</v>
      </c>
      <c r="AC6" s="213"/>
      <c r="AD6" s="221"/>
      <c r="AE6" s="331">
        <f t="shared" si="0"/>
        <v>38239400</v>
      </c>
      <c r="AF6" s="218"/>
      <c r="AG6" s="215">
        <f>(K6+P6+표1_3[[#This Row],[미수금액2]])-AH6</f>
        <v>86530600</v>
      </c>
      <c r="AH6" s="224">
        <f>SUM(IF(COUNTBLANK(H6),G6,0),IF(COUNTBLANK(M6),L6,0),IF(COUNTBLANK(AA6),Y6,0))</f>
        <v>0</v>
      </c>
      <c r="AI6" s="222"/>
      <c r="AJ6" s="223" t="s">
        <v>209</v>
      </c>
      <c r="AK6" s="218">
        <v>11000</v>
      </c>
      <c r="AL6" s="218">
        <f>6252*AK6</f>
        <v>68772000</v>
      </c>
      <c r="AM6" s="215">
        <v>5199000</v>
      </c>
      <c r="AN6" s="212"/>
      <c r="AO6" s="218"/>
      <c r="AP6" s="218">
        <v>2280000</v>
      </c>
      <c r="AQ6" s="215"/>
      <c r="AR6" s="224">
        <f>SUM(AM6:AQ6)</f>
        <v>7479000</v>
      </c>
      <c r="AW6" s="225">
        <v>102243400</v>
      </c>
      <c r="AX6" s="226">
        <f>표1_3[[#This Row],[총실행가]]-AL6-AR6-AW6</f>
        <v>20505600</v>
      </c>
      <c r="AY6" s="227">
        <f>AX6/표1_3[[#This Row],[총실행가]]</f>
        <v>0.10304321608040201</v>
      </c>
      <c r="AZ6" s="228">
        <v>53829300</v>
      </c>
      <c r="BA6" s="226">
        <f>표1_3[[#This Row],[총실행가]]-AL6-AR6-AZ6</f>
        <v>68919700</v>
      </c>
      <c r="BB6" s="229">
        <f>BA6/표1_3[[#This Row],[총실행가]]</f>
        <v>0.34633015075376883</v>
      </c>
    </row>
    <row r="7" spans="1:54" s="186" customFormat="1" ht="24.75" customHeight="1">
      <c r="A7" s="337">
        <v>3</v>
      </c>
      <c r="B7" s="208">
        <v>45946</v>
      </c>
      <c r="C7" s="209" t="s">
        <v>210</v>
      </c>
      <c r="D7" s="210" t="s">
        <v>211</v>
      </c>
      <c r="E7" s="209">
        <f>131600000+8000000</f>
        <v>139600000</v>
      </c>
      <c r="F7" s="211">
        <f>E7-AL7</f>
        <v>83824000</v>
      </c>
      <c r="G7" s="212">
        <v>15164800</v>
      </c>
      <c r="H7" s="213">
        <v>45954</v>
      </c>
      <c r="I7" s="214">
        <v>45976</v>
      </c>
      <c r="J7" s="213">
        <v>45996</v>
      </c>
      <c r="K7" s="215">
        <f>IF(COUNT(J7),0,G7)</f>
        <v>0</v>
      </c>
      <c r="L7" s="216">
        <v>30329600</v>
      </c>
      <c r="M7" s="213">
        <v>45975</v>
      </c>
      <c r="N7" s="214">
        <v>45989</v>
      </c>
      <c r="O7" s="213">
        <v>45996</v>
      </c>
      <c r="P7" s="217">
        <f>IF(COUNT(O7),0,L7)</f>
        <v>0</v>
      </c>
      <c r="Q7" s="212">
        <v>23731600</v>
      </c>
      <c r="R7" s="213">
        <v>46006</v>
      </c>
      <c r="S7" s="213"/>
      <c r="T7" s="213">
        <v>46015</v>
      </c>
      <c r="U7" s="218">
        <f>IF(COUNT(T7),0,Q7)</f>
        <v>0</v>
      </c>
      <c r="V7" s="215">
        <f>표1_3[[#This Row],[금액]]+표1_3[[#This Row],[금액2]]+표1_3[[#This Row],[금액7]]</f>
        <v>69226000</v>
      </c>
      <c r="W7" s="218">
        <f>표1_3[[#This Row],[컨설팅
금액]]-표1_3[[#This Row],[금액]]-표1_3[[#This Row],[금액2]]</f>
        <v>38329600</v>
      </c>
      <c r="X7" s="218">
        <f>AR7</f>
        <v>8598000</v>
      </c>
      <c r="Y7" s="218">
        <f>W7-X7-표1_3[[#This Row],[금액7]]</f>
        <v>6000000</v>
      </c>
      <c r="Z7" s="213">
        <v>45992</v>
      </c>
      <c r="AA7" s="213">
        <v>46006</v>
      </c>
      <c r="AB7" s="220">
        <v>46022</v>
      </c>
      <c r="AC7" s="213"/>
      <c r="AD7" s="221"/>
      <c r="AE7" s="331">
        <f t="shared" si="0"/>
        <v>6000000</v>
      </c>
      <c r="AF7" s="218"/>
      <c r="AG7" s="215">
        <f>(K7+P7+표1_3[[#This Row],[미수금액2]])-AH7</f>
        <v>6000000</v>
      </c>
      <c r="AH7" s="224">
        <f>SUM(IF(COUNTBLANK(H7),G7,0),IF(COUNTBLANK(M7),L7,0),IF(COUNTBLANK(AA7),Y7,0))</f>
        <v>0</v>
      </c>
      <c r="AI7" s="185"/>
      <c r="AJ7" s="223" t="s">
        <v>212</v>
      </c>
      <c r="AK7" s="218">
        <v>12000</v>
      </c>
      <c r="AL7" s="218">
        <v>55776000</v>
      </c>
      <c r="AM7" s="215">
        <v>6898000</v>
      </c>
      <c r="AN7" s="212"/>
      <c r="AO7" s="218">
        <v>1000000</v>
      </c>
      <c r="AP7" s="218">
        <v>700000</v>
      </c>
      <c r="AQ7" s="215"/>
      <c r="AR7" s="224">
        <v>8598000</v>
      </c>
      <c r="AW7" s="225">
        <v>48873800</v>
      </c>
      <c r="AX7" s="226">
        <f>표1_3[[#This Row],[총실행가]]-AL7-AR7-AW7</f>
        <v>26352200</v>
      </c>
      <c r="AY7" s="227">
        <f>AX7/표1_3[[#This Row],[총실행가]]</f>
        <v>0.18876934097421202</v>
      </c>
      <c r="AZ7" s="228">
        <v>22514200</v>
      </c>
      <c r="BA7" s="226">
        <f>표1_3[[#This Row],[총실행가]]-AL7-AR7-AZ7</f>
        <v>52711800</v>
      </c>
      <c r="BB7" s="229">
        <f>BA7/표1_3[[#This Row],[총실행가]]</f>
        <v>0.37759169054441261</v>
      </c>
    </row>
    <row r="8" spans="1:54" s="186" customFormat="1" ht="24.75" customHeight="1">
      <c r="A8" s="337">
        <v>4</v>
      </c>
      <c r="B8" s="230">
        <v>45965</v>
      </c>
      <c r="C8" s="231" t="s">
        <v>213</v>
      </c>
      <c r="D8" s="232" t="s">
        <v>214</v>
      </c>
      <c r="E8" s="231">
        <v>93600000</v>
      </c>
      <c r="F8" s="233">
        <f>E8-AL8</f>
        <v>46100000</v>
      </c>
      <c r="G8" s="234">
        <f>F8*20%</f>
        <v>9220000</v>
      </c>
      <c r="H8" s="235">
        <v>45966</v>
      </c>
      <c r="I8" s="236">
        <v>45976</v>
      </c>
      <c r="J8" s="235">
        <v>45975</v>
      </c>
      <c r="K8" s="237">
        <f>IF(COUNT(J8),0,G8)</f>
        <v>0</v>
      </c>
      <c r="L8" s="238">
        <f>F8*40%</f>
        <v>18440000</v>
      </c>
      <c r="M8" s="213">
        <v>45986</v>
      </c>
      <c r="N8" s="214">
        <v>46006</v>
      </c>
      <c r="O8" s="213">
        <v>46006</v>
      </c>
      <c r="P8" s="239">
        <f>IF(COUNT(O8),0,L8)</f>
        <v>0</v>
      </c>
      <c r="Q8" s="234"/>
      <c r="R8" s="235"/>
      <c r="S8" s="235"/>
      <c r="T8" s="235"/>
      <c r="U8" s="219">
        <f>IF(COUNT(T8),0,Q8)</f>
        <v>0</v>
      </c>
      <c r="V8" s="237">
        <f>표1_3[[#This Row],[금액]]+표1_3[[#This Row],[금액2]]</f>
        <v>27660000</v>
      </c>
      <c r="W8" s="219">
        <f>F8*40%</f>
        <v>18440000</v>
      </c>
      <c r="X8" s="219">
        <f>AR8</f>
        <v>4050000</v>
      </c>
      <c r="Y8" s="219">
        <f>W8-X8</f>
        <v>14390000</v>
      </c>
      <c r="Z8" s="235">
        <v>45992</v>
      </c>
      <c r="AA8" s="235">
        <v>46002</v>
      </c>
      <c r="AB8" s="240">
        <v>46022</v>
      </c>
      <c r="AC8" s="235"/>
      <c r="AD8" s="241"/>
      <c r="AE8" s="332">
        <f t="shared" si="0"/>
        <v>14390000</v>
      </c>
      <c r="AF8" s="219"/>
      <c r="AG8" s="215">
        <f>(K8+P8+표1_3[[#This Row],[미수금액2]])-AH8</f>
        <v>14390000</v>
      </c>
      <c r="AH8" s="338">
        <f>SUM(IF(COUNTBLANK(H8),G8,0),IF(COUNTBLANK(M8),L8,0),IF(COUNTBLANK(AA8),Y8,0))</f>
        <v>0</v>
      </c>
      <c r="AI8" s="185"/>
      <c r="AJ8" s="223" t="s">
        <v>215</v>
      </c>
      <c r="AK8" s="242" t="s">
        <v>216</v>
      </c>
      <c r="AL8" s="218">
        <v>47500000</v>
      </c>
      <c r="AM8" s="215"/>
      <c r="AN8" s="212"/>
      <c r="AO8" s="218">
        <v>1200000</v>
      </c>
      <c r="AP8" s="218">
        <v>2850000</v>
      </c>
      <c r="AQ8" s="215"/>
      <c r="AR8" s="224">
        <v>4050000</v>
      </c>
      <c r="AW8" s="225">
        <v>24030000</v>
      </c>
      <c r="AX8" s="226">
        <f>표1_3[[#This Row],[총실행가]]-AL8-AR8-AW8</f>
        <v>18020000</v>
      </c>
      <c r="AY8" s="227">
        <f>AX8/표1_3[[#This Row],[총실행가]]</f>
        <v>0.19252136752136753</v>
      </c>
      <c r="AZ8" s="228">
        <v>12067300</v>
      </c>
      <c r="BA8" s="226">
        <f>표1_3[[#This Row],[총실행가]]-AL8-AR8-AZ8</f>
        <v>29982700</v>
      </c>
      <c r="BB8" s="229">
        <f>BA8/표1_3[[#This Row],[총실행가]]</f>
        <v>0.32032799145299146</v>
      </c>
    </row>
    <row r="9" spans="1:54" s="186" customFormat="1" ht="24.75" customHeight="1">
      <c r="A9" s="337">
        <v>5</v>
      </c>
      <c r="B9" s="208">
        <v>45973</v>
      </c>
      <c r="C9" s="209" t="s">
        <v>217</v>
      </c>
      <c r="D9" s="210" t="s">
        <v>218</v>
      </c>
      <c r="E9" s="209">
        <v>105000000</v>
      </c>
      <c r="F9" s="211">
        <f>E9-AL9</f>
        <v>56686000</v>
      </c>
      <c r="G9" s="212">
        <v>13387200</v>
      </c>
      <c r="H9" s="213">
        <v>45973</v>
      </c>
      <c r="I9" s="214">
        <v>45989</v>
      </c>
      <c r="J9" s="213">
        <v>46006</v>
      </c>
      <c r="K9" s="215">
        <f>IF(COUNT(J9),0,G9)</f>
        <v>0</v>
      </c>
      <c r="L9" s="238">
        <v>13750000</v>
      </c>
      <c r="M9" s="213">
        <v>46007</v>
      </c>
      <c r="N9" s="220">
        <v>46052</v>
      </c>
      <c r="O9" s="213"/>
      <c r="P9" s="217">
        <f>IF(COUNT(O9),0,L9)</f>
        <v>13750000</v>
      </c>
      <c r="Q9" s="212"/>
      <c r="R9" s="213"/>
      <c r="S9" s="213"/>
      <c r="T9" s="213"/>
      <c r="U9" s="218">
        <f>IF(COUNT(T9),0,Q9)</f>
        <v>0</v>
      </c>
      <c r="V9" s="215">
        <f>표1_3[[#This Row],[금액]]</f>
        <v>13387200</v>
      </c>
      <c r="W9" s="218">
        <v>29548800</v>
      </c>
      <c r="X9" s="218">
        <f>AR9</f>
        <v>14950000</v>
      </c>
      <c r="Y9" s="218">
        <f>W9-X9</f>
        <v>14598800</v>
      </c>
      <c r="Z9" s="213">
        <v>46009</v>
      </c>
      <c r="AA9" s="213">
        <v>46015</v>
      </c>
      <c r="AB9" s="220">
        <v>46052</v>
      </c>
      <c r="AC9" s="213"/>
      <c r="AD9" s="221"/>
      <c r="AE9" s="331">
        <f t="shared" si="0"/>
        <v>14598800</v>
      </c>
      <c r="AF9" s="218"/>
      <c r="AG9" s="215">
        <f>(K9+P9+표1_3[[#This Row],[미수금액2]])-AH9</f>
        <v>28348800</v>
      </c>
      <c r="AH9" s="224">
        <f>SUM(IF(COUNTBLANK(H9),G9,0),IF(COUNTBLANK(M9),L9,0),IF(COUNTBLANK(AA9),Y9,0))</f>
        <v>0</v>
      </c>
      <c r="AI9" s="185"/>
      <c r="AJ9" s="223" t="s">
        <v>219</v>
      </c>
      <c r="AK9" s="218">
        <v>12000</v>
      </c>
      <c r="AL9" s="218">
        <f>38064000+10250000</f>
        <v>48314000</v>
      </c>
      <c r="AM9" s="215"/>
      <c r="AN9" s="212"/>
      <c r="AO9" s="218"/>
      <c r="AP9" s="218">
        <v>950000</v>
      </c>
      <c r="AQ9" s="215">
        <v>14000000</v>
      </c>
      <c r="AR9" s="224">
        <f>SUM(AM9:AQ9)</f>
        <v>14950000</v>
      </c>
      <c r="AW9" s="225">
        <v>48368500</v>
      </c>
      <c r="AX9" s="226">
        <f>표1_3[[#This Row],[총실행가]]-AL9-AR9-AW9</f>
        <v>-6632500</v>
      </c>
      <c r="AY9" s="227">
        <f>AX9/표1_3[[#This Row],[총실행가]]</f>
        <v>-6.3166666666666663E-2</v>
      </c>
      <c r="AZ9" s="228">
        <v>20884000</v>
      </c>
      <c r="BA9" s="226">
        <f>표1_3[[#This Row],[총실행가]]-AL9-AR9-AZ9</f>
        <v>20852000</v>
      </c>
      <c r="BB9" s="229">
        <f>BA9/표1_3[[#This Row],[총실행가]]</f>
        <v>0.19859047619047618</v>
      </c>
    </row>
    <row r="10" spans="1:54" s="186" customFormat="1" ht="24.75" customHeight="1">
      <c r="A10" s="337">
        <v>6</v>
      </c>
      <c r="B10" s="208">
        <v>45980</v>
      </c>
      <c r="C10" s="209" t="s">
        <v>220</v>
      </c>
      <c r="D10" s="210" t="s">
        <v>221</v>
      </c>
      <c r="E10" s="209">
        <v>12200000</v>
      </c>
      <c r="F10" s="211">
        <v>7500000</v>
      </c>
      <c r="G10" s="212"/>
      <c r="H10" s="213"/>
      <c r="I10" s="213"/>
      <c r="J10" s="213"/>
      <c r="K10" s="215">
        <v>0</v>
      </c>
      <c r="L10" s="216"/>
      <c r="M10" s="213"/>
      <c r="N10" s="213"/>
      <c r="O10" s="213"/>
      <c r="P10" s="217">
        <v>0</v>
      </c>
      <c r="Q10" s="212"/>
      <c r="R10" s="213"/>
      <c r="S10" s="213"/>
      <c r="T10" s="213"/>
      <c r="U10" s="218">
        <v>0</v>
      </c>
      <c r="V10" s="215"/>
      <c r="W10" s="218">
        <v>7500000</v>
      </c>
      <c r="X10" s="218">
        <v>1050000</v>
      </c>
      <c r="Y10" s="218">
        <v>6450000</v>
      </c>
      <c r="Z10" s="213">
        <v>45993</v>
      </c>
      <c r="AA10" s="213">
        <v>46006</v>
      </c>
      <c r="AB10" s="220">
        <v>46022</v>
      </c>
      <c r="AC10" s="213"/>
      <c r="AD10" s="221"/>
      <c r="AE10" s="331">
        <f t="shared" si="0"/>
        <v>6450000</v>
      </c>
      <c r="AF10" s="218"/>
      <c r="AG10" s="215">
        <f>(K10+P10+표1_3[[#This Row],[미수금액2]])-AH10</f>
        <v>6450000</v>
      </c>
      <c r="AH10" s="224">
        <v>0</v>
      </c>
      <c r="AI10" s="222"/>
      <c r="AJ10" s="223" t="s">
        <v>222</v>
      </c>
      <c r="AK10" s="243"/>
      <c r="AL10" s="218">
        <v>4700000</v>
      </c>
      <c r="AM10" s="215">
        <v>1000000</v>
      </c>
      <c r="AN10" s="212"/>
      <c r="AO10" s="218"/>
      <c r="AP10" s="218">
        <v>50000</v>
      </c>
      <c r="AQ10" s="215"/>
      <c r="AR10" s="224">
        <v>1050000</v>
      </c>
      <c r="AW10" s="225">
        <v>3262164</v>
      </c>
      <c r="AX10" s="226">
        <f>표1_3[[#This Row],[총실행가]]-AL10-AR10-AW10</f>
        <v>3187836</v>
      </c>
      <c r="AY10" s="227">
        <f>AX10/표1_3[[#This Row],[총실행가]]</f>
        <v>0.26129803278688524</v>
      </c>
      <c r="AZ10" s="228">
        <v>1552476</v>
      </c>
      <c r="BA10" s="226">
        <f>표1_3[[#This Row],[총실행가]]-AL10-AR10-AZ10</f>
        <v>4897524</v>
      </c>
      <c r="BB10" s="229">
        <f>BA10/표1_3[[#This Row],[총실행가]]</f>
        <v>0.40143639344262294</v>
      </c>
    </row>
    <row r="11" spans="1:54" s="186" customFormat="1" ht="24.75" customHeight="1">
      <c r="A11" s="337">
        <v>7</v>
      </c>
      <c r="B11" s="208">
        <v>45797</v>
      </c>
      <c r="C11" s="209" t="s">
        <v>223</v>
      </c>
      <c r="D11" s="210" t="s">
        <v>224</v>
      </c>
      <c r="E11" s="209">
        <v>184400000</v>
      </c>
      <c r="F11" s="211">
        <f>표1_3[[#This Row],[총실행가]]-AL11</f>
        <v>118854000</v>
      </c>
      <c r="G11" s="212">
        <f>F11*20%</f>
        <v>23770800</v>
      </c>
      <c r="H11" s="213">
        <v>45797</v>
      </c>
      <c r="I11" s="220">
        <v>45838</v>
      </c>
      <c r="J11" s="213"/>
      <c r="K11" s="215">
        <f>IF(COUNT(J11),0,G11)</f>
        <v>23770800</v>
      </c>
      <c r="L11" s="216">
        <f>F11*40%</f>
        <v>47541600</v>
      </c>
      <c r="M11" s="213">
        <v>45817</v>
      </c>
      <c r="N11" s="220">
        <v>45838</v>
      </c>
      <c r="O11" s="213"/>
      <c r="P11" s="217">
        <f>IF(COUNT(O11),0,L11)</f>
        <v>47541600</v>
      </c>
      <c r="Q11" s="212"/>
      <c r="R11" s="213"/>
      <c r="S11" s="213"/>
      <c r="T11" s="213"/>
      <c r="U11" s="218">
        <f>IF(COUNT(T11),0,Q11)</f>
        <v>0</v>
      </c>
      <c r="V11" s="215"/>
      <c r="W11" s="218">
        <f>F11*40%</f>
        <v>47541600</v>
      </c>
      <c r="X11" s="218">
        <f>AR11</f>
        <v>550000</v>
      </c>
      <c r="Y11" s="218">
        <f>W11-X11</f>
        <v>46991600</v>
      </c>
      <c r="Z11" s="213">
        <v>45815</v>
      </c>
      <c r="AA11" s="213">
        <v>45832</v>
      </c>
      <c r="AB11" s="240">
        <v>45853</v>
      </c>
      <c r="AC11" s="213"/>
      <c r="AD11" s="221"/>
      <c r="AE11" s="331">
        <f t="shared" si="0"/>
        <v>46991600</v>
      </c>
      <c r="AF11" s="218"/>
      <c r="AG11" s="215">
        <f>(K11+P11+표1_3[[#This Row],[미수금액2]])-AH11</f>
        <v>118304000</v>
      </c>
      <c r="AH11" s="224">
        <f>SUM(IF(COUNTBLANK(H11),G11,0),IF(COUNTBLANK(M11),L11,0),IF(COUNTBLANK(AA11),Y11,0))</f>
        <v>0</v>
      </c>
      <c r="AI11" s="185"/>
      <c r="AJ11" s="223" t="s">
        <v>225</v>
      </c>
      <c r="AK11" s="218">
        <v>13000</v>
      </c>
      <c r="AL11" s="218">
        <v>65546000</v>
      </c>
      <c r="AM11" s="215"/>
      <c r="AN11" s="212"/>
      <c r="AO11" s="218"/>
      <c r="AP11" s="218">
        <v>550000</v>
      </c>
      <c r="AQ11" s="215"/>
      <c r="AR11" s="224">
        <v>550000</v>
      </c>
      <c r="AW11" s="225">
        <v>81545500</v>
      </c>
      <c r="AX11" s="226">
        <f>표1_3[[#This Row],[총실행가]]-AL11-AR11-AW11</f>
        <v>36758500</v>
      </c>
      <c r="AY11" s="227">
        <f>AX11/표1_3[[#This Row],[총실행가]]</f>
        <v>0.19934110629067245</v>
      </c>
      <c r="AZ11" s="228">
        <v>40525900</v>
      </c>
      <c r="BA11" s="226">
        <f>표1_3[[#This Row],[총실행가]]-AL11-AR11-AZ11</f>
        <v>77778100</v>
      </c>
      <c r="BB11" s="229">
        <f>BA11/표1_3[[#This Row],[총실행가]]</f>
        <v>0.4217901301518438</v>
      </c>
    </row>
    <row r="12" spans="1:54" s="186" customFormat="1" ht="24.75" customHeight="1" thickBot="1">
      <c r="A12" s="337">
        <v>8</v>
      </c>
      <c r="B12" s="208">
        <v>45853</v>
      </c>
      <c r="C12" s="209" t="s">
        <v>207</v>
      </c>
      <c r="D12" s="210" t="s">
        <v>226</v>
      </c>
      <c r="E12" s="209">
        <v>389400000</v>
      </c>
      <c r="F12" s="211">
        <f>E12-AL12</f>
        <v>233706000</v>
      </c>
      <c r="G12" s="212">
        <f>F12*10%</f>
        <v>23370600</v>
      </c>
      <c r="H12" s="213">
        <v>45855</v>
      </c>
      <c r="I12" s="214">
        <v>45877</v>
      </c>
      <c r="J12" s="213">
        <v>45877</v>
      </c>
      <c r="K12" s="215">
        <f>IF(COUNT(J12),0,G12)</f>
        <v>0</v>
      </c>
      <c r="L12" s="212">
        <f>F12*40%</f>
        <v>93482400</v>
      </c>
      <c r="M12" s="213">
        <v>45915</v>
      </c>
      <c r="N12" s="220">
        <v>45976</v>
      </c>
      <c r="O12" s="213"/>
      <c r="P12" s="217">
        <f>IF(COUNT(O12),0,L12)</f>
        <v>93482400</v>
      </c>
      <c r="Q12" s="212"/>
      <c r="R12" s="213"/>
      <c r="S12" s="213"/>
      <c r="T12" s="213"/>
      <c r="U12" s="218">
        <f>IF(COUNT(T12),0,Q12)</f>
        <v>0</v>
      </c>
      <c r="V12" s="215">
        <f>표1_3[[#This Row],[금액]]</f>
        <v>23370600</v>
      </c>
      <c r="W12" s="218">
        <f>F12*50%</f>
        <v>116853000</v>
      </c>
      <c r="X12" s="218">
        <f>AR12</f>
        <v>2400000</v>
      </c>
      <c r="Y12" s="218">
        <f>W12-X12</f>
        <v>114453000</v>
      </c>
      <c r="Z12" s="213">
        <v>45964</v>
      </c>
      <c r="AA12" s="213">
        <v>45972</v>
      </c>
      <c r="AB12" s="220">
        <v>45989</v>
      </c>
      <c r="AC12" s="213"/>
      <c r="AD12" s="221"/>
      <c r="AE12" s="331">
        <f t="shared" si="0"/>
        <v>114453000</v>
      </c>
      <c r="AF12" s="218"/>
      <c r="AG12" s="215">
        <f>(K12+P12+표1_3[[#This Row],[미수금액2]])-AH12</f>
        <v>207935400</v>
      </c>
      <c r="AH12" s="224">
        <f>SUM(IF(COUNTBLANK(H12),G12,0),IF(COUNTBLANK(M12),L12,0),IF(COUNTBLANK(AA12),Y12,0))</f>
        <v>0</v>
      </c>
      <c r="AI12" s="185"/>
      <c r="AJ12" s="244" t="s">
        <v>227</v>
      </c>
      <c r="AK12" s="218">
        <v>14000</v>
      </c>
      <c r="AL12" s="218">
        <v>155694000</v>
      </c>
      <c r="AM12" s="215"/>
      <c r="AN12" s="212"/>
      <c r="AO12" s="218"/>
      <c r="AP12" s="218">
        <v>2400000</v>
      </c>
      <c r="AQ12" s="215"/>
      <c r="AR12" s="224">
        <v>2400000</v>
      </c>
      <c r="AW12" s="245">
        <v>188438100</v>
      </c>
      <c r="AX12" s="246">
        <f>표1_3[[#This Row],[총실행가]]-AL12-AR12-AW12</f>
        <v>42867900</v>
      </c>
      <c r="AY12" s="247">
        <f>AX12/표1_3[[#This Row],[총실행가]]</f>
        <v>0.11008705701078582</v>
      </c>
      <c r="AZ12" s="248">
        <v>95783900</v>
      </c>
      <c r="BA12" s="246">
        <f>표1_3[[#This Row],[총실행가]]-AL12-AR12-AZ12</f>
        <v>135522100</v>
      </c>
      <c r="BB12" s="249">
        <f>BA12/표1_3[[#This Row],[총실행가]]</f>
        <v>0.3480279917822291</v>
      </c>
    </row>
    <row r="13" spans="1:54" s="186" customFormat="1" ht="24.75" customHeight="1" thickBot="1">
      <c r="A13" s="339"/>
      <c r="AE13" s="340">
        <f t="shared" si="0"/>
        <v>0</v>
      </c>
      <c r="AG13" s="215">
        <f>(K13+P13+표1_3[[#This Row],[미수금액2]])-AH13</f>
        <v>0</v>
      </c>
      <c r="AH13" s="341"/>
    </row>
    <row r="14" spans="1:54" s="186" customFormat="1" ht="24.75" customHeight="1">
      <c r="A14" s="337">
        <v>1</v>
      </c>
      <c r="B14" s="208">
        <v>45912</v>
      </c>
      <c r="C14" s="209" t="s">
        <v>85</v>
      </c>
      <c r="D14" s="210" t="s">
        <v>228</v>
      </c>
      <c r="E14" s="209">
        <v>430000000</v>
      </c>
      <c r="F14" s="211">
        <f>E14-AL14</f>
        <v>261710000</v>
      </c>
      <c r="G14" s="212">
        <f>F14*20%</f>
        <v>52342000</v>
      </c>
      <c r="H14" s="213">
        <v>45932</v>
      </c>
      <c r="I14" s="214">
        <v>45961</v>
      </c>
      <c r="J14" s="213">
        <v>45945</v>
      </c>
      <c r="K14" s="215">
        <f t="shared" ref="K14:K21" si="1">IF(COUNT(J14),0,G14)</f>
        <v>0</v>
      </c>
      <c r="L14" s="216">
        <f>F14*40%</f>
        <v>104684000</v>
      </c>
      <c r="M14" s="213">
        <v>45975</v>
      </c>
      <c r="N14" s="214">
        <v>46006</v>
      </c>
      <c r="O14" s="214">
        <v>46006</v>
      </c>
      <c r="P14" s="217">
        <f t="shared" ref="P14:P21" si="2">IF(COUNT(O14),0,L14)</f>
        <v>0</v>
      </c>
      <c r="Q14" s="212"/>
      <c r="R14" s="213"/>
      <c r="S14" s="213"/>
      <c r="T14" s="213"/>
      <c r="U14" s="218">
        <f t="shared" ref="U14:U21" si="3">IF(COUNT(T14),0,Q14)</f>
        <v>0</v>
      </c>
      <c r="V14" s="215">
        <f>표1_3[[#This Row],[금액]]+표1_3[[#This Row],[금액2]]</f>
        <v>157026000</v>
      </c>
      <c r="W14" s="218">
        <f>F14*40%</f>
        <v>104684000</v>
      </c>
      <c r="X14" s="218">
        <f t="shared" ref="X14:X21" si="4">AR14</f>
        <v>0</v>
      </c>
      <c r="Y14" s="218">
        <f t="shared" ref="Y14:Y21" si="5">W14-X14</f>
        <v>104684000</v>
      </c>
      <c r="Z14" s="213">
        <v>46010</v>
      </c>
      <c r="AA14" s="213"/>
      <c r="AB14" s="213"/>
      <c r="AC14" s="213"/>
      <c r="AD14" s="221"/>
      <c r="AE14" s="331">
        <f t="shared" si="0"/>
        <v>104684000</v>
      </c>
      <c r="AF14" s="218"/>
      <c r="AG14" s="215">
        <f>(K14+P14+표1_3[[#This Row],[미수금액2]])-AH14</f>
        <v>0</v>
      </c>
      <c r="AH14" s="224">
        <f t="shared" ref="AH14:AH21" si="6">SUM(IF(COUNTBLANK(H14),G14,0),IF(COUNTBLANK(M14),L14,0),IF(COUNTBLANK(AA14),Y14,0))</f>
        <v>104684000</v>
      </c>
      <c r="AI14" s="185"/>
      <c r="AJ14" s="223" t="s">
        <v>229</v>
      </c>
      <c r="AK14" s="218">
        <v>12000</v>
      </c>
      <c r="AL14" s="218">
        <v>168290000</v>
      </c>
      <c r="AM14" s="215"/>
      <c r="AN14" s="212"/>
      <c r="AO14" s="218"/>
      <c r="AP14" s="218"/>
      <c r="AQ14" s="215"/>
      <c r="AR14" s="224">
        <v>0</v>
      </c>
      <c r="AW14" s="250"/>
      <c r="AX14" s="251">
        <f>표1_3[[#This Row],[총실행가]]-AL14-AR14-AW14</f>
        <v>261710000</v>
      </c>
      <c r="AY14" s="252">
        <f>AX14/표1_3[[#This Row],[총실행가]]</f>
        <v>0.60862790697674418</v>
      </c>
      <c r="AZ14" s="253"/>
      <c r="BA14" s="251">
        <f>표1_3[[#This Row],[총실행가]]-AL14-AR14-AZ14</f>
        <v>261710000</v>
      </c>
      <c r="BB14" s="254">
        <f>BA14/표1_3[[#This Row],[총실행가]]</f>
        <v>0.60862790697674418</v>
      </c>
    </row>
    <row r="15" spans="1:54" s="186" customFormat="1" ht="24.75" customHeight="1">
      <c r="A15" s="337">
        <v>2</v>
      </c>
      <c r="B15" s="208">
        <v>45923</v>
      </c>
      <c r="C15" s="209" t="s">
        <v>230</v>
      </c>
      <c r="D15" s="210" t="s">
        <v>231</v>
      </c>
      <c r="E15" s="209">
        <v>285000000</v>
      </c>
      <c r="F15" s="211">
        <f>E15-AL15</f>
        <v>181353000</v>
      </c>
      <c r="G15" s="212"/>
      <c r="H15" s="213"/>
      <c r="I15" s="213"/>
      <c r="J15" s="213"/>
      <c r="K15" s="215">
        <f t="shared" si="1"/>
        <v>0</v>
      </c>
      <c r="L15" s="216">
        <f>F15*60%</f>
        <v>108811800</v>
      </c>
      <c r="M15" s="213">
        <v>45954</v>
      </c>
      <c r="N15" s="214">
        <v>45976</v>
      </c>
      <c r="O15" s="213">
        <v>45978</v>
      </c>
      <c r="P15" s="217">
        <f t="shared" si="2"/>
        <v>0</v>
      </c>
      <c r="Q15" s="212"/>
      <c r="R15" s="213"/>
      <c r="S15" s="213"/>
      <c r="T15" s="213"/>
      <c r="U15" s="218">
        <f t="shared" si="3"/>
        <v>0</v>
      </c>
      <c r="V15" s="215">
        <f>표1_3[[#This Row],[금액2]]</f>
        <v>108811800</v>
      </c>
      <c r="W15" s="218">
        <f>F15*40%</f>
        <v>72541200</v>
      </c>
      <c r="X15" s="218">
        <f t="shared" si="4"/>
        <v>0</v>
      </c>
      <c r="Y15" s="218">
        <f t="shared" si="5"/>
        <v>72541200</v>
      </c>
      <c r="Z15" s="213"/>
      <c r="AA15" s="213"/>
      <c r="AB15" s="213"/>
      <c r="AC15" s="213"/>
      <c r="AD15" s="221"/>
      <c r="AE15" s="331">
        <f t="shared" si="0"/>
        <v>72541200</v>
      </c>
      <c r="AF15" s="218"/>
      <c r="AG15" s="215">
        <f>(K15+P15+표1_3[[#This Row],[미수금액2]])-AH15</f>
        <v>0</v>
      </c>
      <c r="AH15" s="224">
        <f t="shared" si="6"/>
        <v>72541200</v>
      </c>
      <c r="AI15" s="185"/>
      <c r="AJ15" s="223" t="s">
        <v>232</v>
      </c>
      <c r="AK15" s="218" t="s">
        <v>233</v>
      </c>
      <c r="AL15" s="218">
        <v>103647000</v>
      </c>
      <c r="AM15" s="215"/>
      <c r="AN15" s="212"/>
      <c r="AO15" s="218"/>
      <c r="AP15" s="218"/>
      <c r="AQ15" s="215"/>
      <c r="AR15" s="224">
        <v>0</v>
      </c>
      <c r="AW15" s="225"/>
      <c r="AX15" s="226">
        <f>표1_3[[#This Row],[총실행가]]-AL15-AR15-AW15</f>
        <v>181353000</v>
      </c>
      <c r="AY15" s="227">
        <f>AX15/표1_3[[#This Row],[총실행가]]</f>
        <v>0.63632631578947363</v>
      </c>
      <c r="AZ15" s="228"/>
      <c r="BA15" s="226">
        <f>표1_3[[#This Row],[총실행가]]-AL15-AR15-AZ15</f>
        <v>181353000</v>
      </c>
      <c r="BB15" s="229">
        <f>BA15/표1_3[[#This Row],[총실행가]]</f>
        <v>0.63632631578947363</v>
      </c>
    </row>
    <row r="16" spans="1:54" s="186" customFormat="1" ht="24.75" customHeight="1">
      <c r="A16" s="337">
        <v>3</v>
      </c>
      <c r="B16" s="208">
        <v>45950</v>
      </c>
      <c r="C16" s="209" t="s">
        <v>234</v>
      </c>
      <c r="D16" s="210" t="s">
        <v>235</v>
      </c>
      <c r="E16" s="209">
        <v>425790000</v>
      </c>
      <c r="F16" s="211">
        <f>E16-AL16</f>
        <v>303876000</v>
      </c>
      <c r="G16" s="212">
        <v>91762800</v>
      </c>
      <c r="H16" s="213">
        <v>45947</v>
      </c>
      <c r="I16" s="220">
        <v>45976</v>
      </c>
      <c r="J16" s="213"/>
      <c r="K16" s="215">
        <f t="shared" si="1"/>
        <v>91762800</v>
      </c>
      <c r="L16" s="216">
        <v>91762800</v>
      </c>
      <c r="M16" s="213">
        <v>45965</v>
      </c>
      <c r="N16" s="220">
        <v>45989</v>
      </c>
      <c r="O16" s="213"/>
      <c r="P16" s="217">
        <f t="shared" si="2"/>
        <v>91762800</v>
      </c>
      <c r="Q16" s="212"/>
      <c r="R16" s="213"/>
      <c r="S16" s="213"/>
      <c r="T16" s="213"/>
      <c r="U16" s="218">
        <f t="shared" si="3"/>
        <v>0</v>
      </c>
      <c r="V16" s="215"/>
      <c r="W16" s="218">
        <f>표1_3[[#This Row],[컨설팅
금액]]-표1_3[[#This Row],[금액]]-표1_3[[#This Row],[금액2]]</f>
        <v>120350400</v>
      </c>
      <c r="X16" s="218">
        <f t="shared" si="4"/>
        <v>1300000</v>
      </c>
      <c r="Y16" s="218">
        <f t="shared" si="5"/>
        <v>119050400</v>
      </c>
      <c r="Z16" s="213"/>
      <c r="AA16" s="213"/>
      <c r="AB16" s="213"/>
      <c r="AC16" s="213"/>
      <c r="AD16" s="221"/>
      <c r="AE16" s="331">
        <f t="shared" si="0"/>
        <v>119050400</v>
      </c>
      <c r="AF16" s="218"/>
      <c r="AG16" s="215">
        <f>(K16+P16+표1_3[[#This Row],[미수금액2]])-AH16</f>
        <v>183525600</v>
      </c>
      <c r="AH16" s="224">
        <f t="shared" si="6"/>
        <v>119050400</v>
      </c>
      <c r="AI16" s="185"/>
      <c r="AJ16" s="244" t="s">
        <v>236</v>
      </c>
      <c r="AK16" s="218">
        <v>13000</v>
      </c>
      <c r="AL16" s="218">
        <v>121914000</v>
      </c>
      <c r="AM16" s="215"/>
      <c r="AN16" s="212"/>
      <c r="AO16" s="218">
        <v>1300000</v>
      </c>
      <c r="AP16" s="218"/>
      <c r="AQ16" s="215"/>
      <c r="AR16" s="224">
        <v>1300000</v>
      </c>
      <c r="AW16" s="225"/>
      <c r="AX16" s="226">
        <f>표1_3[[#This Row],[총실행가]]-AL16-AR16-AW16</f>
        <v>302576000</v>
      </c>
      <c r="AY16" s="227">
        <f>AX16/표1_3[[#This Row],[총실행가]]</f>
        <v>0.71062260738861882</v>
      </c>
      <c r="AZ16" s="228"/>
      <c r="BA16" s="226">
        <f>표1_3[[#This Row],[총실행가]]-AL16-AR16-AZ16</f>
        <v>302576000</v>
      </c>
      <c r="BB16" s="229">
        <f>BA16/표1_3[[#This Row],[총실행가]]</f>
        <v>0.71062260738861882</v>
      </c>
    </row>
    <row r="17" spans="1:54" s="186" customFormat="1" ht="24.75" customHeight="1">
      <c r="A17" s="337">
        <v>4</v>
      </c>
      <c r="B17" s="230">
        <v>45957</v>
      </c>
      <c r="C17" s="231" t="s">
        <v>237</v>
      </c>
      <c r="D17" s="232" t="s">
        <v>238</v>
      </c>
      <c r="E17" s="231">
        <v>450000000</v>
      </c>
      <c r="F17" s="233">
        <f>E17-AL17</f>
        <v>272578000</v>
      </c>
      <c r="G17" s="234">
        <f>F17*20%</f>
        <v>54515600</v>
      </c>
      <c r="H17" s="213">
        <v>45964</v>
      </c>
      <c r="I17" s="214">
        <v>45976</v>
      </c>
      <c r="J17" s="235">
        <v>45970</v>
      </c>
      <c r="K17" s="237">
        <f t="shared" si="1"/>
        <v>0</v>
      </c>
      <c r="L17" s="238">
        <f>F17*40%</f>
        <v>109031200</v>
      </c>
      <c r="M17" s="235"/>
      <c r="N17" s="235"/>
      <c r="O17" s="235"/>
      <c r="P17" s="239">
        <f t="shared" si="2"/>
        <v>109031200</v>
      </c>
      <c r="Q17" s="234"/>
      <c r="R17" s="235"/>
      <c r="S17" s="235"/>
      <c r="T17" s="235"/>
      <c r="U17" s="219">
        <f t="shared" si="3"/>
        <v>0</v>
      </c>
      <c r="V17" s="237">
        <f>표1_3[[#This Row],[금액]]</f>
        <v>54515600</v>
      </c>
      <c r="W17" s="219">
        <f>F17*40%</f>
        <v>109031200</v>
      </c>
      <c r="X17" s="219">
        <f t="shared" si="4"/>
        <v>0</v>
      </c>
      <c r="Y17" s="219">
        <f t="shared" si="5"/>
        <v>109031200</v>
      </c>
      <c r="Z17" s="235"/>
      <c r="AA17" s="235"/>
      <c r="AB17" s="235"/>
      <c r="AC17" s="235"/>
      <c r="AD17" s="241"/>
      <c r="AE17" s="332">
        <f t="shared" si="0"/>
        <v>109031200</v>
      </c>
      <c r="AF17" s="219"/>
      <c r="AG17" s="215">
        <f>(K17+P17+표1_3[[#This Row],[미수금액2]])-AH17</f>
        <v>0</v>
      </c>
      <c r="AH17" s="224">
        <f t="shared" si="6"/>
        <v>218062400</v>
      </c>
      <c r="AI17" s="185"/>
      <c r="AJ17" s="223" t="s">
        <v>239</v>
      </c>
      <c r="AK17" s="218">
        <v>19000</v>
      </c>
      <c r="AL17" s="218">
        <v>177422000</v>
      </c>
      <c r="AM17" s="215"/>
      <c r="AN17" s="212"/>
      <c r="AO17" s="218"/>
      <c r="AP17" s="218"/>
      <c r="AQ17" s="215"/>
      <c r="AR17" s="224">
        <v>0</v>
      </c>
      <c r="AW17" s="225"/>
      <c r="AX17" s="226">
        <f>표1_3[[#This Row],[총실행가]]-AL17-AR17-AW17</f>
        <v>272578000</v>
      </c>
      <c r="AY17" s="227">
        <f>AX17/표1_3[[#This Row],[총실행가]]</f>
        <v>0.60572888888888887</v>
      </c>
      <c r="AZ17" s="228"/>
      <c r="BA17" s="226">
        <f>표1_3[[#This Row],[총실행가]]-AL17-AR17-AZ17</f>
        <v>272578000</v>
      </c>
      <c r="BB17" s="229">
        <f>BA17/표1_3[[#This Row],[총실행가]]</f>
        <v>0.60572888888888887</v>
      </c>
    </row>
    <row r="18" spans="1:54" s="186" customFormat="1" ht="24.75" customHeight="1">
      <c r="A18" s="337">
        <v>5</v>
      </c>
      <c r="B18" s="208">
        <v>45943</v>
      </c>
      <c r="C18" s="209" t="s">
        <v>72</v>
      </c>
      <c r="D18" s="210" t="s">
        <v>73</v>
      </c>
      <c r="E18" s="209"/>
      <c r="F18" s="211">
        <v>133800000</v>
      </c>
      <c r="G18" s="212">
        <f>F18*20%</f>
        <v>26760000</v>
      </c>
      <c r="H18" s="213">
        <v>45967</v>
      </c>
      <c r="I18" s="220">
        <v>45989</v>
      </c>
      <c r="J18" s="213"/>
      <c r="K18" s="215">
        <f t="shared" si="1"/>
        <v>26760000</v>
      </c>
      <c r="L18" s="216">
        <f>F18*40%</f>
        <v>53520000</v>
      </c>
      <c r="M18" s="213">
        <v>46010</v>
      </c>
      <c r="N18" s="220">
        <v>46022</v>
      </c>
      <c r="O18" s="213"/>
      <c r="P18" s="217">
        <f t="shared" si="2"/>
        <v>53520000</v>
      </c>
      <c r="Q18" s="212"/>
      <c r="R18" s="213"/>
      <c r="S18" s="213"/>
      <c r="T18" s="213"/>
      <c r="U18" s="218">
        <f t="shared" si="3"/>
        <v>0</v>
      </c>
      <c r="V18" s="215"/>
      <c r="W18" s="218">
        <f>F18*40%</f>
        <v>53520000</v>
      </c>
      <c r="X18" s="218">
        <f t="shared" si="4"/>
        <v>0</v>
      </c>
      <c r="Y18" s="218">
        <f t="shared" si="5"/>
        <v>53520000</v>
      </c>
      <c r="Z18" s="213"/>
      <c r="AA18" s="213"/>
      <c r="AB18" s="213"/>
      <c r="AC18" s="213"/>
      <c r="AD18" s="221"/>
      <c r="AE18" s="331">
        <f t="shared" si="0"/>
        <v>53520000</v>
      </c>
      <c r="AF18" s="218"/>
      <c r="AG18" s="215">
        <f>(K18+P18+표1_3[[#This Row],[미수금액2]])-AH18</f>
        <v>80280000</v>
      </c>
      <c r="AH18" s="224">
        <f t="shared" si="6"/>
        <v>53520000</v>
      </c>
      <c r="AI18" s="185"/>
      <c r="AJ18" s="223"/>
      <c r="AK18" s="218"/>
      <c r="AL18" s="218"/>
      <c r="AM18" s="215"/>
      <c r="AN18" s="212"/>
      <c r="AO18" s="218"/>
      <c r="AP18" s="218"/>
      <c r="AQ18" s="215"/>
      <c r="AR18" s="224"/>
      <c r="AW18" s="225"/>
      <c r="AX18" s="226">
        <f>표1_3[[#This Row],[총실행가]]-AL18-AR18-AW18</f>
        <v>0</v>
      </c>
      <c r="AY18" s="227" t="e">
        <f>AX18/표1_3[[#This Row],[총실행가]]</f>
        <v>#DIV/0!</v>
      </c>
      <c r="AZ18" s="228"/>
      <c r="BA18" s="226">
        <f>표1_3[[#This Row],[총실행가]]-AL18-AR18-AZ18</f>
        <v>0</v>
      </c>
      <c r="BB18" s="229" t="e">
        <f>BA18/표1_3[[#This Row],[총실행가]]</f>
        <v>#DIV/0!</v>
      </c>
    </row>
    <row r="19" spans="1:54" s="186" customFormat="1" ht="24.75" customHeight="1">
      <c r="A19" s="337">
        <v>6</v>
      </c>
      <c r="B19" s="230">
        <v>45979</v>
      </c>
      <c r="C19" s="231" t="s">
        <v>85</v>
      </c>
      <c r="D19" s="232" t="s">
        <v>240</v>
      </c>
      <c r="E19" s="231">
        <v>114700000</v>
      </c>
      <c r="F19" s="233">
        <f>E19-AL19</f>
        <v>59588500</v>
      </c>
      <c r="G19" s="234">
        <f>F19*20%</f>
        <v>11917700</v>
      </c>
      <c r="H19" s="213">
        <v>45979</v>
      </c>
      <c r="I19" s="214">
        <v>45989</v>
      </c>
      <c r="J19" s="235">
        <v>45989</v>
      </c>
      <c r="K19" s="237">
        <f t="shared" si="1"/>
        <v>0</v>
      </c>
      <c r="L19" s="238">
        <f>F19*40%</f>
        <v>23835400</v>
      </c>
      <c r="M19" s="235"/>
      <c r="N19" s="235"/>
      <c r="O19" s="235"/>
      <c r="P19" s="239">
        <f t="shared" si="2"/>
        <v>23835400</v>
      </c>
      <c r="Q19" s="234"/>
      <c r="R19" s="235"/>
      <c r="S19" s="235"/>
      <c r="T19" s="235"/>
      <c r="U19" s="219">
        <f t="shared" si="3"/>
        <v>0</v>
      </c>
      <c r="V19" s="237">
        <f>표1_3[[#This Row],[금액]]</f>
        <v>11917700</v>
      </c>
      <c r="W19" s="219">
        <f>F19*40%</f>
        <v>23835400</v>
      </c>
      <c r="X19" s="219">
        <f t="shared" si="4"/>
        <v>0</v>
      </c>
      <c r="Y19" s="219">
        <f t="shared" si="5"/>
        <v>23835400</v>
      </c>
      <c r="Z19" s="235"/>
      <c r="AA19" s="235"/>
      <c r="AB19" s="235"/>
      <c r="AC19" s="235"/>
      <c r="AD19" s="241"/>
      <c r="AE19" s="332">
        <f t="shared" si="0"/>
        <v>23835400</v>
      </c>
      <c r="AF19" s="219"/>
      <c r="AG19" s="215">
        <f>(K19+P19+표1_3[[#This Row],[미수금액2]])-AH19</f>
        <v>0</v>
      </c>
      <c r="AH19" s="224">
        <f t="shared" si="6"/>
        <v>47670800</v>
      </c>
      <c r="AI19" s="185"/>
      <c r="AJ19" s="223" t="s">
        <v>241</v>
      </c>
      <c r="AK19" s="218">
        <v>18500</v>
      </c>
      <c r="AL19" s="218">
        <v>55111500</v>
      </c>
      <c r="AM19" s="215"/>
      <c r="AN19" s="212"/>
      <c r="AO19" s="218"/>
      <c r="AP19" s="218"/>
      <c r="AQ19" s="215"/>
      <c r="AR19" s="224">
        <v>0</v>
      </c>
      <c r="AW19" s="225"/>
      <c r="AX19" s="226">
        <f>표1_3[[#This Row],[총실행가]]-AL19-AR19-AW19</f>
        <v>59588500</v>
      </c>
      <c r="AY19" s="227">
        <f>AX19/표1_3[[#This Row],[총실행가]]</f>
        <v>0.51951612903225808</v>
      </c>
      <c r="AZ19" s="228"/>
      <c r="BA19" s="226">
        <f>표1_3[[#This Row],[총실행가]]-AL19-AR19-AZ19</f>
        <v>59588500</v>
      </c>
      <c r="BB19" s="229">
        <f>BA19/표1_3[[#This Row],[총실행가]]</f>
        <v>0.51951612903225808</v>
      </c>
    </row>
    <row r="20" spans="1:54" s="186" customFormat="1" ht="24.75" customHeight="1">
      <c r="A20" s="337">
        <v>7</v>
      </c>
      <c r="B20" s="208">
        <v>45987</v>
      </c>
      <c r="C20" s="209" t="s">
        <v>77</v>
      </c>
      <c r="D20" s="210" t="s">
        <v>242</v>
      </c>
      <c r="E20" s="209">
        <v>46890000</v>
      </c>
      <c r="F20" s="211">
        <f>E20-AL20</f>
        <v>36890000</v>
      </c>
      <c r="G20" s="234">
        <f>F20*40%</f>
        <v>14756000</v>
      </c>
      <c r="H20" s="213">
        <v>45988</v>
      </c>
      <c r="I20" s="214">
        <v>46006</v>
      </c>
      <c r="J20" s="235">
        <v>45989</v>
      </c>
      <c r="K20" s="215">
        <f t="shared" si="1"/>
        <v>0</v>
      </c>
      <c r="L20" s="238">
        <f>F20*40%</f>
        <v>14756000</v>
      </c>
      <c r="M20" s="213"/>
      <c r="N20" s="213"/>
      <c r="O20" s="213"/>
      <c r="P20" s="217">
        <f t="shared" si="2"/>
        <v>14756000</v>
      </c>
      <c r="Q20" s="212"/>
      <c r="R20" s="213"/>
      <c r="S20" s="213"/>
      <c r="T20" s="213"/>
      <c r="U20" s="218">
        <f t="shared" si="3"/>
        <v>0</v>
      </c>
      <c r="V20" s="215">
        <f>표1_3[[#This Row],[금액]]</f>
        <v>14756000</v>
      </c>
      <c r="W20" s="218">
        <f>F20*20%</f>
        <v>7378000</v>
      </c>
      <c r="X20" s="218">
        <f t="shared" si="4"/>
        <v>0</v>
      </c>
      <c r="Y20" s="218">
        <f t="shared" si="5"/>
        <v>7378000</v>
      </c>
      <c r="Z20" s="213"/>
      <c r="AA20" s="213"/>
      <c r="AB20" s="213"/>
      <c r="AC20" s="213"/>
      <c r="AD20" s="221"/>
      <c r="AE20" s="331">
        <f t="shared" si="0"/>
        <v>7378000</v>
      </c>
      <c r="AF20" s="218"/>
      <c r="AG20" s="215">
        <f>(K20+P20+표1_3[[#This Row],[미수금액2]])-AH20</f>
        <v>0</v>
      </c>
      <c r="AH20" s="224">
        <f t="shared" si="6"/>
        <v>22134000</v>
      </c>
      <c r="AI20" s="185"/>
      <c r="AJ20" s="223" t="s">
        <v>243</v>
      </c>
      <c r="AK20" s="218">
        <v>14000</v>
      </c>
      <c r="AL20" s="218">
        <v>10000000</v>
      </c>
      <c r="AM20" s="215"/>
      <c r="AN20" s="212"/>
      <c r="AO20" s="218"/>
      <c r="AP20" s="218"/>
      <c r="AQ20" s="215"/>
      <c r="AR20" s="224">
        <v>0</v>
      </c>
      <c r="AW20" s="225"/>
      <c r="AX20" s="226">
        <f>표1_3[[#This Row],[총실행가]]-AL20-AR20-AW20</f>
        <v>36890000</v>
      </c>
      <c r="AY20" s="227">
        <f>AX20/표1_3[[#This Row],[총실행가]]</f>
        <v>0.78673491149498831</v>
      </c>
      <c r="AZ20" s="228"/>
      <c r="BA20" s="226">
        <f>표1_3[[#This Row],[총실행가]]-AL20-AR20-AZ20</f>
        <v>36890000</v>
      </c>
      <c r="BB20" s="229">
        <f>BA20/표1_3[[#This Row],[총실행가]]</f>
        <v>0.78673491149498831</v>
      </c>
    </row>
    <row r="21" spans="1:54" s="186" customFormat="1" ht="24.75" customHeight="1" thickBot="1">
      <c r="A21" s="274">
        <v>8</v>
      </c>
      <c r="B21" s="275">
        <v>46000</v>
      </c>
      <c r="C21" s="276" t="s">
        <v>244</v>
      </c>
      <c r="D21" s="342" t="s">
        <v>245</v>
      </c>
      <c r="E21" s="276">
        <v>14500000</v>
      </c>
      <c r="F21" s="277">
        <f>E21-AL21</f>
        <v>10336000</v>
      </c>
      <c r="G21" s="343"/>
      <c r="H21" s="278"/>
      <c r="I21" s="278"/>
      <c r="J21" s="278"/>
      <c r="K21" s="279">
        <f t="shared" si="1"/>
        <v>0</v>
      </c>
      <c r="L21" s="280"/>
      <c r="M21" s="278"/>
      <c r="N21" s="278"/>
      <c r="O21" s="278"/>
      <c r="P21" s="281">
        <f t="shared" si="2"/>
        <v>0</v>
      </c>
      <c r="Q21" s="343"/>
      <c r="R21" s="278"/>
      <c r="S21" s="278"/>
      <c r="T21" s="278"/>
      <c r="U21" s="292">
        <f t="shared" si="3"/>
        <v>0</v>
      </c>
      <c r="V21" s="279"/>
      <c r="W21" s="292">
        <f>F21</f>
        <v>10336000</v>
      </c>
      <c r="X21" s="292">
        <f t="shared" si="4"/>
        <v>0</v>
      </c>
      <c r="Y21" s="292">
        <f t="shared" si="5"/>
        <v>10336000</v>
      </c>
      <c r="Z21" s="278">
        <v>46003</v>
      </c>
      <c r="AA21" s="278"/>
      <c r="AB21" s="278"/>
      <c r="AC21" s="278"/>
      <c r="AD21" s="344"/>
      <c r="AE21" s="345">
        <f t="shared" si="0"/>
        <v>10336000</v>
      </c>
      <c r="AF21" s="292"/>
      <c r="AG21" s="279">
        <f>(K21+P21+표1_3[[#This Row],[미수금액2]])-AH21</f>
        <v>0</v>
      </c>
      <c r="AH21" s="346">
        <f t="shared" si="6"/>
        <v>10336000</v>
      </c>
      <c r="AI21" s="185"/>
      <c r="AJ21" s="223" t="s">
        <v>246</v>
      </c>
      <c r="AK21" s="218">
        <v>12000</v>
      </c>
      <c r="AL21" s="218">
        <v>4164000</v>
      </c>
      <c r="AM21" s="215"/>
      <c r="AN21" s="212"/>
      <c r="AO21" s="218"/>
      <c r="AP21" s="218"/>
      <c r="AQ21" s="215"/>
      <c r="AR21" s="224">
        <v>0</v>
      </c>
      <c r="AW21" s="245"/>
      <c r="AX21" s="255">
        <f>표1_3[[#This Row],[총실행가]]-AL21-AR21-AW21</f>
        <v>10336000</v>
      </c>
      <c r="AY21" s="256">
        <f>AX21/표1_3[[#This Row],[총실행가]]</f>
        <v>0.71282758620689657</v>
      </c>
      <c r="AZ21" s="248"/>
      <c r="BA21" s="255">
        <f>표1_3[[#This Row],[총실행가]]-AL21-AR21-AZ21</f>
        <v>10336000</v>
      </c>
      <c r="BB21" s="257">
        <f>BA21/표1_3[[#This Row],[총실행가]]</f>
        <v>0.71282758620689657</v>
      </c>
    </row>
    <row r="24" spans="1:54" s="185" customFormat="1" ht="24.75" customHeight="1">
      <c r="A24" s="354" t="s">
        <v>247</v>
      </c>
      <c r="B24" s="354"/>
      <c r="C24" s="354"/>
      <c r="D24" s="354"/>
      <c r="E24" s="354"/>
      <c r="F24" s="358" t="s">
        <v>248</v>
      </c>
      <c r="G24" s="358"/>
      <c r="H24" s="358"/>
      <c r="I24" s="358"/>
      <c r="J24" s="358"/>
      <c r="K24" s="363" t="s">
        <v>249</v>
      </c>
      <c r="L24" s="363"/>
      <c r="M24" s="363"/>
      <c r="N24" s="363"/>
      <c r="O24" s="363"/>
      <c r="P24" s="363" t="s">
        <v>250</v>
      </c>
      <c r="Q24" s="363"/>
      <c r="R24" s="364" t="s">
        <v>115</v>
      </c>
      <c r="S24" s="364"/>
      <c r="T24" s="364"/>
      <c r="U24" s="364"/>
      <c r="V24" s="364"/>
    </row>
    <row r="25" spans="1:54" s="185" customFormat="1" ht="24.75" customHeight="1">
      <c r="A25" s="259" t="s">
        <v>174</v>
      </c>
      <c r="B25" s="260" t="s">
        <v>251</v>
      </c>
      <c r="C25" s="188" t="s">
        <v>41</v>
      </c>
      <c r="D25" s="189" t="s">
        <v>42</v>
      </c>
      <c r="E25" s="189" t="s">
        <v>252</v>
      </c>
      <c r="F25" s="261" t="s">
        <v>176</v>
      </c>
      <c r="G25" s="192" t="s">
        <v>177</v>
      </c>
      <c r="H25" s="193" t="s">
        <v>178</v>
      </c>
      <c r="I25" s="192" t="s">
        <v>179</v>
      </c>
      <c r="J25" s="261" t="s">
        <v>180</v>
      </c>
      <c r="K25" s="261" t="s">
        <v>181</v>
      </c>
      <c r="L25" s="192" t="s">
        <v>182</v>
      </c>
      <c r="M25" s="192" t="s">
        <v>183</v>
      </c>
      <c r="N25" s="192" t="s">
        <v>184</v>
      </c>
      <c r="O25" s="261" t="s">
        <v>185</v>
      </c>
      <c r="P25" s="261" t="s">
        <v>253</v>
      </c>
      <c r="Q25" s="262" t="s">
        <v>254</v>
      </c>
      <c r="R25" s="364"/>
      <c r="S25" s="364"/>
      <c r="T25" s="364"/>
      <c r="U25" s="364"/>
      <c r="V25" s="364"/>
    </row>
    <row r="26" spans="1:54" s="222" customFormat="1" ht="24.75" customHeight="1">
      <c r="A26" s="263">
        <v>1</v>
      </c>
      <c r="B26" s="264">
        <v>45597</v>
      </c>
      <c r="C26" s="265" t="s">
        <v>244</v>
      </c>
      <c r="D26" s="265" t="s">
        <v>255</v>
      </c>
      <c r="E26" s="266">
        <v>136000000</v>
      </c>
      <c r="F26" s="267">
        <f>E26*1%</f>
        <v>1360000</v>
      </c>
      <c r="G26" s="213">
        <v>45597</v>
      </c>
      <c r="H26" s="213">
        <v>45688</v>
      </c>
      <c r="I26" s="213">
        <v>45664</v>
      </c>
      <c r="J26" s="215">
        <f t="shared" ref="J26:J63" si="7">IF(COUNT(I26),0,F26)</f>
        <v>0</v>
      </c>
      <c r="K26" s="216"/>
      <c r="L26" s="213"/>
      <c r="M26" s="213"/>
      <c r="N26" s="213"/>
      <c r="O26" s="217">
        <f t="shared" ref="O26:O63" si="8">IF(COUNT(N26),0,K26)</f>
        <v>0</v>
      </c>
      <c r="P26" s="268">
        <f>F26</f>
        <v>1360000</v>
      </c>
      <c r="Q26" s="217"/>
      <c r="R26" s="365"/>
      <c r="S26" s="365"/>
      <c r="T26" s="365"/>
      <c r="U26" s="365"/>
      <c r="V26" s="365"/>
    </row>
    <row r="27" spans="1:54" s="222" customFormat="1" ht="24.75" customHeight="1">
      <c r="A27" s="223">
        <f t="shared" ref="A27:A46" si="9">A26+1</f>
        <v>2</v>
      </c>
      <c r="B27" s="208">
        <v>45665</v>
      </c>
      <c r="C27" s="209" t="s">
        <v>256</v>
      </c>
      <c r="D27" s="209" t="s">
        <v>257</v>
      </c>
      <c r="E27" s="211">
        <v>226400000</v>
      </c>
      <c r="F27" s="228"/>
      <c r="G27" s="213"/>
      <c r="H27" s="213"/>
      <c r="I27" s="213"/>
      <c r="J27" s="215">
        <f t="shared" si="7"/>
        <v>0</v>
      </c>
      <c r="K27" s="216">
        <f>E27*0.5%</f>
        <v>1132000</v>
      </c>
      <c r="L27" s="213">
        <v>45665</v>
      </c>
      <c r="M27" s="213">
        <v>45665</v>
      </c>
      <c r="N27" s="213">
        <v>45665</v>
      </c>
      <c r="O27" s="217">
        <f t="shared" si="8"/>
        <v>0</v>
      </c>
      <c r="P27" s="268">
        <f>K27</f>
        <v>1132000</v>
      </c>
      <c r="Q27" s="217"/>
      <c r="R27" s="366"/>
      <c r="S27" s="366"/>
      <c r="T27" s="366"/>
      <c r="U27" s="366"/>
      <c r="V27" s="366"/>
    </row>
    <row r="28" spans="1:54" s="222" customFormat="1" ht="24.75" customHeight="1">
      <c r="A28" s="223">
        <f t="shared" si="9"/>
        <v>3</v>
      </c>
      <c r="B28" s="208">
        <v>45665</v>
      </c>
      <c r="C28" s="209" t="s">
        <v>258</v>
      </c>
      <c r="D28" s="209" t="s">
        <v>259</v>
      </c>
      <c r="E28" s="211">
        <v>215200000</v>
      </c>
      <c r="F28" s="228"/>
      <c r="G28" s="213"/>
      <c r="H28" s="213"/>
      <c r="I28" s="213"/>
      <c r="J28" s="215">
        <f t="shared" si="7"/>
        <v>0</v>
      </c>
      <c r="K28" s="216">
        <f>E28*0.5%</f>
        <v>1076000</v>
      </c>
      <c r="L28" s="213">
        <v>45665</v>
      </c>
      <c r="M28" s="213">
        <v>45666</v>
      </c>
      <c r="N28" s="213">
        <v>45666</v>
      </c>
      <c r="O28" s="217">
        <f t="shared" si="8"/>
        <v>0</v>
      </c>
      <c r="P28" s="268">
        <f>K28</f>
        <v>1076000</v>
      </c>
      <c r="Q28" s="217"/>
      <c r="R28" s="366"/>
      <c r="S28" s="366"/>
      <c r="T28" s="366"/>
      <c r="U28" s="366"/>
      <c r="V28" s="366"/>
    </row>
    <row r="29" spans="1:54" s="222" customFormat="1" ht="24.75" customHeight="1">
      <c r="A29" s="223">
        <f t="shared" si="9"/>
        <v>4</v>
      </c>
      <c r="B29" s="230">
        <v>45667</v>
      </c>
      <c r="C29" s="231" t="s">
        <v>260</v>
      </c>
      <c r="D29" s="231" t="s">
        <v>261</v>
      </c>
      <c r="E29" s="269">
        <v>87800000</v>
      </c>
      <c r="F29" s="270">
        <f>(E29*1%)-295000</f>
        <v>583000</v>
      </c>
      <c r="G29" s="235">
        <v>45670</v>
      </c>
      <c r="H29" s="235"/>
      <c r="I29" s="235">
        <v>45671</v>
      </c>
      <c r="J29" s="237">
        <f t="shared" si="7"/>
        <v>0</v>
      </c>
      <c r="K29" s="234"/>
      <c r="L29" s="235"/>
      <c r="M29" s="235"/>
      <c r="N29" s="235"/>
      <c r="O29" s="239">
        <f t="shared" si="8"/>
        <v>0</v>
      </c>
      <c r="P29" s="268">
        <f>표6[[#This Row],[금액]]</f>
        <v>583000</v>
      </c>
      <c r="Q29" s="217"/>
      <c r="R29" s="367" t="s">
        <v>262</v>
      </c>
      <c r="S29" s="367"/>
      <c r="T29" s="367"/>
      <c r="U29" s="367"/>
      <c r="V29" s="367"/>
    </row>
    <row r="30" spans="1:54" s="222" customFormat="1" ht="24.75" customHeight="1">
      <c r="A30" s="223">
        <f t="shared" si="9"/>
        <v>5</v>
      </c>
      <c r="B30" s="208">
        <v>45670</v>
      </c>
      <c r="C30" s="209" t="s">
        <v>263</v>
      </c>
      <c r="D30" s="209" t="s">
        <v>264</v>
      </c>
      <c r="E30" s="211">
        <v>214800000</v>
      </c>
      <c r="F30" s="270"/>
      <c r="G30" s="213"/>
      <c r="H30" s="213"/>
      <c r="I30" s="213"/>
      <c r="J30" s="215">
        <f t="shared" si="7"/>
        <v>0</v>
      </c>
      <c r="K30" s="216">
        <f>E30*0.5%</f>
        <v>1074000</v>
      </c>
      <c r="L30" s="213">
        <v>45670</v>
      </c>
      <c r="M30" s="213">
        <v>45672</v>
      </c>
      <c r="N30" s="213">
        <v>45672</v>
      </c>
      <c r="O30" s="217">
        <f t="shared" si="8"/>
        <v>0</v>
      </c>
      <c r="P30" s="268">
        <f>표6[[#This Row],[금액2]]</f>
        <v>1074000</v>
      </c>
      <c r="Q30" s="217"/>
      <c r="R30" s="366"/>
      <c r="S30" s="366"/>
      <c r="T30" s="366"/>
      <c r="U30" s="366"/>
      <c r="V30" s="366"/>
    </row>
    <row r="31" spans="1:54" s="222" customFormat="1" ht="24.75" customHeight="1">
      <c r="A31" s="223">
        <f t="shared" si="9"/>
        <v>6</v>
      </c>
      <c r="B31" s="208">
        <v>45667</v>
      </c>
      <c r="C31" s="209" t="s">
        <v>263</v>
      </c>
      <c r="D31" s="209" t="s">
        <v>265</v>
      </c>
      <c r="E31" s="211">
        <v>40000000</v>
      </c>
      <c r="F31" s="270">
        <f>(E31*1%)</f>
        <v>400000</v>
      </c>
      <c r="G31" s="213">
        <v>45671</v>
      </c>
      <c r="H31" s="213"/>
      <c r="I31" s="213">
        <v>45672</v>
      </c>
      <c r="J31" s="215">
        <f t="shared" si="7"/>
        <v>0</v>
      </c>
      <c r="K31" s="216"/>
      <c r="L31" s="213"/>
      <c r="M31" s="213"/>
      <c r="N31" s="213"/>
      <c r="O31" s="217">
        <f t="shared" si="8"/>
        <v>0</v>
      </c>
      <c r="P31" s="268">
        <f>F31</f>
        <v>400000</v>
      </c>
      <c r="Q31" s="217"/>
      <c r="R31" s="366"/>
      <c r="S31" s="366"/>
      <c r="T31" s="366"/>
      <c r="U31" s="366"/>
      <c r="V31" s="366"/>
    </row>
    <row r="32" spans="1:54" s="222" customFormat="1" ht="24.75" customHeight="1">
      <c r="A32" s="223">
        <f t="shared" si="9"/>
        <v>7</v>
      </c>
      <c r="B32" s="208">
        <v>45668</v>
      </c>
      <c r="C32" s="209" t="s">
        <v>263</v>
      </c>
      <c r="D32" s="209" t="s">
        <v>266</v>
      </c>
      <c r="E32" s="211">
        <v>429800000</v>
      </c>
      <c r="F32" s="271">
        <f>(E32*1%)-3461000</f>
        <v>837000</v>
      </c>
      <c r="G32" s="213">
        <v>45671</v>
      </c>
      <c r="H32" s="213"/>
      <c r="I32" s="213">
        <v>45672</v>
      </c>
      <c r="J32" s="215">
        <f t="shared" si="7"/>
        <v>0</v>
      </c>
      <c r="K32" s="216"/>
      <c r="L32" s="213"/>
      <c r="M32" s="213"/>
      <c r="N32" s="213"/>
      <c r="O32" s="217">
        <f t="shared" si="8"/>
        <v>0</v>
      </c>
      <c r="P32" s="268">
        <f>F32</f>
        <v>837000</v>
      </c>
      <c r="Q32" s="217"/>
      <c r="R32" s="367" t="s">
        <v>267</v>
      </c>
      <c r="S32" s="367"/>
      <c r="T32" s="367"/>
      <c r="U32" s="367"/>
      <c r="V32" s="367"/>
    </row>
    <row r="33" spans="1:22" s="222" customFormat="1" ht="24.75" customHeight="1">
      <c r="A33" s="223">
        <f t="shared" si="9"/>
        <v>8</v>
      </c>
      <c r="B33" s="208">
        <v>45669</v>
      </c>
      <c r="C33" s="209" t="s">
        <v>263</v>
      </c>
      <c r="D33" s="209" t="s">
        <v>268</v>
      </c>
      <c r="E33" s="211">
        <v>26000000</v>
      </c>
      <c r="F33" s="271">
        <f>(E33*1%)-116500</f>
        <v>143500</v>
      </c>
      <c r="G33" s="213">
        <v>45671</v>
      </c>
      <c r="H33" s="213"/>
      <c r="I33" s="213">
        <v>45672</v>
      </c>
      <c r="J33" s="215">
        <f t="shared" si="7"/>
        <v>0</v>
      </c>
      <c r="K33" s="216"/>
      <c r="L33" s="213"/>
      <c r="M33" s="213"/>
      <c r="N33" s="213"/>
      <c r="O33" s="217">
        <f t="shared" si="8"/>
        <v>0</v>
      </c>
      <c r="P33" s="268">
        <f>F33</f>
        <v>143500</v>
      </c>
      <c r="Q33" s="217"/>
      <c r="R33" s="367" t="s">
        <v>269</v>
      </c>
      <c r="S33" s="367"/>
      <c r="T33" s="367"/>
      <c r="U33" s="367"/>
      <c r="V33" s="367"/>
    </row>
    <row r="34" spans="1:22" s="185" customFormat="1" ht="24.75" customHeight="1">
      <c r="A34" s="223">
        <f t="shared" si="9"/>
        <v>9</v>
      </c>
      <c r="B34" s="208">
        <v>45671</v>
      </c>
      <c r="C34" s="209" t="s">
        <v>270</v>
      </c>
      <c r="D34" s="209" t="s">
        <v>271</v>
      </c>
      <c r="E34" s="211">
        <v>425000000</v>
      </c>
      <c r="F34" s="270">
        <f>(E34*1%)-2550000</f>
        <v>1700000</v>
      </c>
      <c r="G34" s="213">
        <v>45671</v>
      </c>
      <c r="H34" s="213">
        <v>45698</v>
      </c>
      <c r="I34" s="213">
        <v>45698</v>
      </c>
      <c r="J34" s="215">
        <f t="shared" si="7"/>
        <v>0</v>
      </c>
      <c r="K34" s="216"/>
      <c r="L34" s="213"/>
      <c r="M34" s="213"/>
      <c r="N34" s="213"/>
      <c r="O34" s="217">
        <f t="shared" si="8"/>
        <v>0</v>
      </c>
      <c r="P34" s="268">
        <f>표6[[#This Row],[금액]]</f>
        <v>1700000</v>
      </c>
      <c r="Q34" s="217"/>
      <c r="R34" s="367" t="s">
        <v>272</v>
      </c>
      <c r="S34" s="367"/>
      <c r="T34" s="367"/>
      <c r="U34" s="367"/>
      <c r="V34" s="367"/>
    </row>
    <row r="35" spans="1:22" s="185" customFormat="1" ht="24.75" customHeight="1">
      <c r="A35" s="223">
        <f t="shared" si="9"/>
        <v>10</v>
      </c>
      <c r="B35" s="208">
        <v>45604</v>
      </c>
      <c r="C35" s="231" t="s">
        <v>210</v>
      </c>
      <c r="D35" s="209" t="s">
        <v>273</v>
      </c>
      <c r="E35" s="211">
        <v>199800000</v>
      </c>
      <c r="F35" s="270"/>
      <c r="G35" s="213"/>
      <c r="H35" s="213"/>
      <c r="I35" s="213"/>
      <c r="J35" s="215">
        <f t="shared" si="7"/>
        <v>0</v>
      </c>
      <c r="K35" s="216">
        <f>(E35*0.5%)</f>
        <v>999000</v>
      </c>
      <c r="L35" s="213">
        <v>45671</v>
      </c>
      <c r="M35" s="213">
        <v>45716</v>
      </c>
      <c r="N35" s="213">
        <v>45693</v>
      </c>
      <c r="O35" s="217">
        <f t="shared" si="8"/>
        <v>0</v>
      </c>
      <c r="P35" s="268">
        <f>표6[[#This Row],[금액2]]</f>
        <v>999000</v>
      </c>
      <c r="Q35" s="217"/>
      <c r="R35" s="366"/>
      <c r="S35" s="366"/>
      <c r="T35" s="366"/>
      <c r="U35" s="366"/>
      <c r="V35" s="366"/>
    </row>
    <row r="36" spans="1:22" s="222" customFormat="1" ht="24.75" customHeight="1">
      <c r="A36" s="223">
        <f t="shared" si="9"/>
        <v>11</v>
      </c>
      <c r="B36" s="208">
        <v>45671</v>
      </c>
      <c r="C36" s="209" t="s">
        <v>274</v>
      </c>
      <c r="D36" s="209" t="s">
        <v>275</v>
      </c>
      <c r="E36" s="211">
        <v>329500000</v>
      </c>
      <c r="F36" s="270">
        <f>(E36*1%)</f>
        <v>3295000</v>
      </c>
      <c r="G36" s="213">
        <v>45671</v>
      </c>
      <c r="H36" s="213">
        <v>45716</v>
      </c>
      <c r="I36" s="213">
        <v>45681</v>
      </c>
      <c r="J36" s="215">
        <f t="shared" si="7"/>
        <v>0</v>
      </c>
      <c r="K36" s="216"/>
      <c r="L36" s="213"/>
      <c r="M36" s="213"/>
      <c r="N36" s="213"/>
      <c r="O36" s="217">
        <f t="shared" si="8"/>
        <v>0</v>
      </c>
      <c r="P36" s="268">
        <f>표6[[#This Row],[금액]]</f>
        <v>3295000</v>
      </c>
      <c r="Q36" s="217"/>
      <c r="R36" s="366"/>
      <c r="S36" s="366"/>
      <c r="T36" s="366"/>
      <c r="U36" s="366"/>
      <c r="V36" s="366"/>
    </row>
    <row r="37" spans="1:22" s="222" customFormat="1" ht="24.75" customHeight="1">
      <c r="A37" s="223">
        <f t="shared" si="9"/>
        <v>12</v>
      </c>
      <c r="B37" s="208">
        <v>45671</v>
      </c>
      <c r="C37" s="209" t="s">
        <v>274</v>
      </c>
      <c r="D37" s="209" t="s">
        <v>276</v>
      </c>
      <c r="E37" s="211">
        <v>98800000</v>
      </c>
      <c r="F37" s="270">
        <f>(E37*1%)-193150</f>
        <v>794850</v>
      </c>
      <c r="G37" s="213">
        <v>45671</v>
      </c>
      <c r="H37" s="213">
        <v>45716</v>
      </c>
      <c r="I37" s="213">
        <v>45681</v>
      </c>
      <c r="J37" s="215">
        <f t="shared" si="7"/>
        <v>0</v>
      </c>
      <c r="K37" s="216"/>
      <c r="L37" s="213"/>
      <c r="M37" s="213"/>
      <c r="N37" s="213"/>
      <c r="O37" s="217">
        <f t="shared" si="8"/>
        <v>0</v>
      </c>
      <c r="P37" s="268">
        <f>표6[[#This Row],[금액]]</f>
        <v>794850</v>
      </c>
      <c r="Q37" s="217"/>
      <c r="R37" s="367" t="s">
        <v>277</v>
      </c>
      <c r="S37" s="367"/>
      <c r="T37" s="367"/>
      <c r="U37" s="367"/>
      <c r="V37" s="367"/>
    </row>
    <row r="38" spans="1:22" s="222" customFormat="1" ht="24.75" customHeight="1">
      <c r="A38" s="223">
        <f t="shared" si="9"/>
        <v>13</v>
      </c>
      <c r="B38" s="208">
        <v>45667</v>
      </c>
      <c r="C38" s="209" t="s">
        <v>278</v>
      </c>
      <c r="D38" s="209" t="s">
        <v>279</v>
      </c>
      <c r="E38" s="211">
        <v>21100000</v>
      </c>
      <c r="F38" s="270">
        <f>(E38*1%)</f>
        <v>211000</v>
      </c>
      <c r="G38" s="213">
        <v>45671</v>
      </c>
      <c r="H38" s="213">
        <v>45681</v>
      </c>
      <c r="I38" s="213">
        <v>45681</v>
      </c>
      <c r="J38" s="215">
        <f t="shared" si="7"/>
        <v>0</v>
      </c>
      <c r="K38" s="216"/>
      <c r="L38" s="213"/>
      <c r="M38" s="213"/>
      <c r="N38" s="213"/>
      <c r="O38" s="217">
        <f t="shared" si="8"/>
        <v>0</v>
      </c>
      <c r="P38" s="272">
        <f>표6[[#This Row],[금액]]</f>
        <v>211000</v>
      </c>
      <c r="Q38" s="217">
        <v>0</v>
      </c>
      <c r="R38" s="366"/>
      <c r="S38" s="366"/>
      <c r="T38" s="366"/>
      <c r="U38" s="366"/>
      <c r="V38" s="366"/>
    </row>
    <row r="39" spans="1:22" s="222" customFormat="1" ht="24.75" customHeight="1">
      <c r="A39" s="223">
        <f t="shared" si="9"/>
        <v>14</v>
      </c>
      <c r="B39" s="230">
        <v>45671</v>
      </c>
      <c r="C39" s="231" t="s">
        <v>258</v>
      </c>
      <c r="D39" s="231" t="s">
        <v>280</v>
      </c>
      <c r="E39" s="233">
        <v>84900000</v>
      </c>
      <c r="F39" s="270">
        <f>(E39*1%)-675000</f>
        <v>174000</v>
      </c>
      <c r="G39" s="235">
        <v>45672</v>
      </c>
      <c r="H39" s="235"/>
      <c r="I39" s="235">
        <v>45672</v>
      </c>
      <c r="J39" s="237">
        <f t="shared" si="7"/>
        <v>0</v>
      </c>
      <c r="K39" s="238"/>
      <c r="L39" s="235"/>
      <c r="M39" s="235"/>
      <c r="N39" s="235"/>
      <c r="O39" s="239">
        <f t="shared" si="8"/>
        <v>0</v>
      </c>
      <c r="P39" s="272">
        <f>표6[[#This Row],[금액]]</f>
        <v>174000</v>
      </c>
      <c r="Q39" s="239"/>
      <c r="R39" s="367" t="s">
        <v>281</v>
      </c>
      <c r="S39" s="367"/>
      <c r="T39" s="367"/>
      <c r="U39" s="367"/>
      <c r="V39" s="367"/>
    </row>
    <row r="40" spans="1:22" s="222" customFormat="1" ht="24.75" customHeight="1">
      <c r="A40" s="223">
        <f t="shared" si="9"/>
        <v>15</v>
      </c>
      <c r="B40" s="230">
        <v>45672</v>
      </c>
      <c r="C40" s="231" t="s">
        <v>210</v>
      </c>
      <c r="D40" s="231" t="s">
        <v>282</v>
      </c>
      <c r="E40" s="233">
        <v>194900000</v>
      </c>
      <c r="F40" s="270"/>
      <c r="G40" s="235"/>
      <c r="H40" s="235"/>
      <c r="I40" s="235"/>
      <c r="J40" s="237">
        <f t="shared" si="7"/>
        <v>0</v>
      </c>
      <c r="K40" s="238">
        <f>표6[[#This Row],[낙찰 금액]]*0.5%</f>
        <v>974500</v>
      </c>
      <c r="L40" s="235">
        <v>45674</v>
      </c>
      <c r="M40" s="235">
        <v>45747</v>
      </c>
      <c r="N40" s="235">
        <v>45693</v>
      </c>
      <c r="O40" s="239">
        <f t="shared" si="8"/>
        <v>0</v>
      </c>
      <c r="P40" s="272">
        <f>표6[[#This Row],[금액2]]</f>
        <v>974500</v>
      </c>
      <c r="Q40" s="239">
        <f>IF(COUNT(O40),0,L40)</f>
        <v>0</v>
      </c>
      <c r="R40" s="366"/>
      <c r="S40" s="366"/>
      <c r="T40" s="366"/>
      <c r="U40" s="366"/>
      <c r="V40" s="366"/>
    </row>
    <row r="41" spans="1:22" s="222" customFormat="1" ht="24.75" customHeight="1">
      <c r="A41" s="223">
        <f t="shared" si="9"/>
        <v>16</v>
      </c>
      <c r="B41" s="230">
        <v>45672</v>
      </c>
      <c r="C41" s="231" t="s">
        <v>210</v>
      </c>
      <c r="D41" s="273" t="s">
        <v>283</v>
      </c>
      <c r="E41" s="233">
        <v>618000000</v>
      </c>
      <c r="F41" s="270"/>
      <c r="G41" s="235"/>
      <c r="H41" s="235"/>
      <c r="I41" s="235"/>
      <c r="J41" s="237">
        <f t="shared" si="7"/>
        <v>0</v>
      </c>
      <c r="K41" s="238">
        <f>E41*0.5%</f>
        <v>3090000</v>
      </c>
      <c r="L41" s="235">
        <v>45674</v>
      </c>
      <c r="M41" s="235">
        <v>45747</v>
      </c>
      <c r="N41" s="235">
        <v>45693</v>
      </c>
      <c r="O41" s="239">
        <f t="shared" si="8"/>
        <v>0</v>
      </c>
      <c r="P41" s="272">
        <f>표6[[#This Row],[금액2]]</f>
        <v>3090000</v>
      </c>
      <c r="Q41" s="239">
        <f>IF(COUNT(O41),0,L41)</f>
        <v>0</v>
      </c>
      <c r="R41" s="366"/>
      <c r="S41" s="366"/>
      <c r="T41" s="366"/>
      <c r="U41" s="366"/>
      <c r="V41" s="366"/>
    </row>
    <row r="42" spans="1:22" s="222" customFormat="1" ht="24.75" customHeight="1">
      <c r="A42" s="223">
        <f t="shared" si="9"/>
        <v>17</v>
      </c>
      <c r="B42" s="208">
        <v>45681</v>
      </c>
      <c r="C42" s="209" t="s">
        <v>284</v>
      </c>
      <c r="D42" s="209" t="s">
        <v>285</v>
      </c>
      <c r="E42" s="211">
        <v>472000000</v>
      </c>
      <c r="F42" s="270">
        <f>(E42*1%)-224000</f>
        <v>4496000</v>
      </c>
      <c r="G42" s="213">
        <v>45681</v>
      </c>
      <c r="H42" s="213">
        <v>45747</v>
      </c>
      <c r="I42" s="213">
        <v>45694</v>
      </c>
      <c r="J42" s="215">
        <f t="shared" si="7"/>
        <v>0</v>
      </c>
      <c r="K42" s="216"/>
      <c r="L42" s="213"/>
      <c r="M42" s="213"/>
      <c r="N42" s="213"/>
      <c r="O42" s="217">
        <f t="shared" si="8"/>
        <v>0</v>
      </c>
      <c r="P42" s="268">
        <f>표6[[#This Row],[금액]]</f>
        <v>4496000</v>
      </c>
      <c r="Q42" s="217">
        <f>IF(COUNT(O42),0,L42)</f>
        <v>0</v>
      </c>
      <c r="R42" s="367" t="s">
        <v>286</v>
      </c>
      <c r="S42" s="367"/>
      <c r="T42" s="367"/>
      <c r="U42" s="367"/>
      <c r="V42" s="367"/>
    </row>
    <row r="43" spans="1:22" s="222" customFormat="1" ht="24.75" customHeight="1">
      <c r="A43" s="223">
        <f t="shared" si="9"/>
        <v>18</v>
      </c>
      <c r="B43" s="230">
        <v>45681</v>
      </c>
      <c r="C43" s="231" t="s">
        <v>80</v>
      </c>
      <c r="D43" s="231" t="s">
        <v>287</v>
      </c>
      <c r="E43" s="233">
        <v>71500000</v>
      </c>
      <c r="F43" s="270">
        <f>(E43*1%)-233700</f>
        <v>481300</v>
      </c>
      <c r="G43" s="235">
        <v>45681</v>
      </c>
      <c r="H43" s="235">
        <v>45716</v>
      </c>
      <c r="I43" s="235">
        <v>45705</v>
      </c>
      <c r="J43" s="237">
        <f t="shared" si="7"/>
        <v>0</v>
      </c>
      <c r="K43" s="238"/>
      <c r="L43" s="235"/>
      <c r="M43" s="235"/>
      <c r="N43" s="235"/>
      <c r="O43" s="239">
        <f t="shared" si="8"/>
        <v>0</v>
      </c>
      <c r="P43" s="272">
        <f>표6[[#This Row],[금액]]</f>
        <v>481300</v>
      </c>
      <c r="Q43" s="239"/>
      <c r="R43" s="367" t="s">
        <v>288</v>
      </c>
      <c r="S43" s="367"/>
      <c r="T43" s="367"/>
      <c r="U43" s="367"/>
      <c r="V43" s="367"/>
    </row>
    <row r="44" spans="1:22" s="222" customFormat="1" ht="24.75" customHeight="1">
      <c r="A44" s="223">
        <f t="shared" si="9"/>
        <v>19</v>
      </c>
      <c r="B44" s="230">
        <v>45692</v>
      </c>
      <c r="C44" s="231" t="s">
        <v>220</v>
      </c>
      <c r="D44" s="231" t="s">
        <v>289</v>
      </c>
      <c r="E44" s="233">
        <v>357900000</v>
      </c>
      <c r="F44" s="270"/>
      <c r="G44" s="235"/>
      <c r="H44" s="235"/>
      <c r="I44" s="235"/>
      <c r="J44" s="237">
        <f t="shared" si="7"/>
        <v>0</v>
      </c>
      <c r="K44" s="238">
        <f>E44*0.5%</f>
        <v>1789500</v>
      </c>
      <c r="L44" s="235">
        <v>45692</v>
      </c>
      <c r="M44" s="235">
        <v>45716</v>
      </c>
      <c r="N44" s="235">
        <v>45716</v>
      </c>
      <c r="O44" s="239">
        <f t="shared" si="8"/>
        <v>0</v>
      </c>
      <c r="P44" s="272">
        <f>표6[[#This Row],[금액2]]</f>
        <v>1789500</v>
      </c>
      <c r="Q44" s="239"/>
      <c r="R44" s="366"/>
      <c r="S44" s="366"/>
      <c r="T44" s="366"/>
      <c r="U44" s="366"/>
      <c r="V44" s="366"/>
    </row>
    <row r="45" spans="1:22" s="222" customFormat="1" ht="24.75" customHeight="1">
      <c r="A45" s="223">
        <f t="shared" si="9"/>
        <v>20</v>
      </c>
      <c r="B45" s="230">
        <v>45702</v>
      </c>
      <c r="C45" s="231" t="s">
        <v>290</v>
      </c>
      <c r="D45" s="231" t="s">
        <v>291</v>
      </c>
      <c r="E45" s="233">
        <v>366000000</v>
      </c>
      <c r="F45" s="270">
        <f>(E45*1%)-1234500</f>
        <v>2425500</v>
      </c>
      <c r="G45" s="235">
        <v>45702</v>
      </c>
      <c r="H45" s="235">
        <v>45716</v>
      </c>
      <c r="I45" s="235">
        <v>45716</v>
      </c>
      <c r="J45" s="237">
        <f t="shared" si="7"/>
        <v>0</v>
      </c>
      <c r="K45" s="238"/>
      <c r="L45" s="235"/>
      <c r="M45" s="235"/>
      <c r="N45" s="235"/>
      <c r="O45" s="239">
        <f t="shared" si="8"/>
        <v>0</v>
      </c>
      <c r="P45" s="272">
        <f>F45</f>
        <v>2425500</v>
      </c>
      <c r="Q45" s="239"/>
      <c r="R45" s="367" t="s">
        <v>292</v>
      </c>
      <c r="S45" s="367"/>
      <c r="T45" s="367"/>
      <c r="U45" s="367"/>
      <c r="V45" s="367"/>
    </row>
    <row r="46" spans="1:22" s="185" customFormat="1" ht="24.75" customHeight="1">
      <c r="A46" s="223">
        <f t="shared" si="9"/>
        <v>21</v>
      </c>
      <c r="B46" s="230">
        <v>45705</v>
      </c>
      <c r="C46" s="231" t="s">
        <v>223</v>
      </c>
      <c r="D46" s="231" t="s">
        <v>293</v>
      </c>
      <c r="E46" s="233">
        <v>635000000</v>
      </c>
      <c r="F46" s="270">
        <f>(E46*1%)-1320800</f>
        <v>5029200</v>
      </c>
      <c r="G46" s="235">
        <v>45705</v>
      </c>
      <c r="H46" s="235">
        <v>45705</v>
      </c>
      <c r="I46" s="235">
        <v>45705</v>
      </c>
      <c r="J46" s="237">
        <f t="shared" si="7"/>
        <v>0</v>
      </c>
      <c r="K46" s="238"/>
      <c r="L46" s="235"/>
      <c r="M46" s="235"/>
      <c r="N46" s="235"/>
      <c r="O46" s="239">
        <f t="shared" si="8"/>
        <v>0</v>
      </c>
      <c r="P46" s="272">
        <f>F46</f>
        <v>5029200</v>
      </c>
      <c r="Q46" s="239">
        <f>IF(COUNT(O46),0,L46)</f>
        <v>0</v>
      </c>
      <c r="R46" s="367" t="s">
        <v>294</v>
      </c>
      <c r="S46" s="367"/>
      <c r="T46" s="367"/>
      <c r="U46" s="367"/>
      <c r="V46" s="367"/>
    </row>
    <row r="47" spans="1:22" s="185" customFormat="1" ht="24.75" customHeight="1">
      <c r="A47" s="223">
        <v>1</v>
      </c>
      <c r="B47" s="230">
        <v>45705</v>
      </c>
      <c r="C47" s="231" t="s">
        <v>295</v>
      </c>
      <c r="D47" s="231" t="s">
        <v>296</v>
      </c>
      <c r="E47" s="233">
        <v>398000000</v>
      </c>
      <c r="F47" s="270">
        <f>(E47*1%)-2348000</f>
        <v>1632000</v>
      </c>
      <c r="G47" s="235">
        <v>45705</v>
      </c>
      <c r="H47" s="240">
        <v>45823</v>
      </c>
      <c r="I47" s="235"/>
      <c r="J47" s="237">
        <f t="shared" si="7"/>
        <v>1632000</v>
      </c>
      <c r="K47" s="238"/>
      <c r="L47" s="235"/>
      <c r="M47" s="235"/>
      <c r="N47" s="235"/>
      <c r="O47" s="239">
        <f t="shared" si="8"/>
        <v>0</v>
      </c>
      <c r="P47" s="272">
        <f>IF(COUNT(N47),0,K47)-O47</f>
        <v>0</v>
      </c>
      <c r="Q47" s="239">
        <f>J47-P47</f>
        <v>1632000</v>
      </c>
      <c r="R47" s="367" t="s">
        <v>297</v>
      </c>
      <c r="S47" s="367"/>
      <c r="T47" s="367"/>
      <c r="U47" s="367"/>
      <c r="V47" s="367"/>
    </row>
    <row r="48" spans="1:22" s="222" customFormat="1" ht="24.75" customHeight="1">
      <c r="A48" s="223">
        <v>2</v>
      </c>
      <c r="B48" s="208">
        <v>45840</v>
      </c>
      <c r="C48" s="209" t="s">
        <v>295</v>
      </c>
      <c r="D48" s="209" t="s">
        <v>298</v>
      </c>
      <c r="E48" s="211">
        <v>628000000</v>
      </c>
      <c r="F48" s="228">
        <f>(E48*1%)-900000</f>
        <v>5380000</v>
      </c>
      <c r="G48" s="213">
        <v>45840</v>
      </c>
      <c r="H48" s="220">
        <v>45853</v>
      </c>
      <c r="I48" s="213"/>
      <c r="J48" s="215">
        <f t="shared" si="7"/>
        <v>5380000</v>
      </c>
      <c r="K48" s="216"/>
      <c r="L48" s="213"/>
      <c r="M48" s="213"/>
      <c r="N48" s="213"/>
      <c r="O48" s="217">
        <f t="shared" si="8"/>
        <v>0</v>
      </c>
      <c r="P48" s="268">
        <f>IF(COUNT(N48),0,K48)-O48</f>
        <v>0</v>
      </c>
      <c r="Q48" s="217">
        <f>J48-P48</f>
        <v>5380000</v>
      </c>
      <c r="R48" s="367" t="s">
        <v>299</v>
      </c>
      <c r="S48" s="367"/>
      <c r="T48" s="367"/>
      <c r="U48" s="367"/>
      <c r="V48" s="367"/>
    </row>
    <row r="49" spans="1:22" s="222" customFormat="1" ht="24.75" customHeight="1">
      <c r="A49" s="223">
        <v>3</v>
      </c>
      <c r="B49" s="230">
        <v>45855</v>
      </c>
      <c r="C49" s="231" t="s">
        <v>295</v>
      </c>
      <c r="D49" s="231" t="s">
        <v>300</v>
      </c>
      <c r="E49" s="233">
        <v>78900000</v>
      </c>
      <c r="F49" s="270">
        <f>(E49*1%)-24000</f>
        <v>765000</v>
      </c>
      <c r="G49" s="235">
        <v>45840</v>
      </c>
      <c r="H49" s="240">
        <v>45853</v>
      </c>
      <c r="I49" s="235"/>
      <c r="J49" s="237">
        <f t="shared" si="7"/>
        <v>765000</v>
      </c>
      <c r="K49" s="238"/>
      <c r="L49" s="235"/>
      <c r="M49" s="235"/>
      <c r="N49" s="235"/>
      <c r="O49" s="239">
        <f t="shared" si="8"/>
        <v>0</v>
      </c>
      <c r="P49" s="272">
        <f>IF(COUNT(N49),0,K49)-O49</f>
        <v>0</v>
      </c>
      <c r="Q49" s="239">
        <f>J49-P49</f>
        <v>765000</v>
      </c>
      <c r="R49" s="367" t="s">
        <v>301</v>
      </c>
      <c r="S49" s="367"/>
      <c r="T49" s="367"/>
      <c r="U49" s="367"/>
      <c r="V49" s="367"/>
    </row>
    <row r="50" spans="1:22" s="185" customFormat="1" ht="24.75" customHeight="1">
      <c r="A50" s="223">
        <v>4</v>
      </c>
      <c r="B50" s="208">
        <v>45868</v>
      </c>
      <c r="C50" s="209" t="s">
        <v>295</v>
      </c>
      <c r="D50" s="209" t="s">
        <v>302</v>
      </c>
      <c r="E50" s="211">
        <v>378000000</v>
      </c>
      <c r="F50" s="270">
        <f>(E50*1%)-1041100</f>
        <v>2738900</v>
      </c>
      <c r="G50" s="213">
        <v>45889</v>
      </c>
      <c r="H50" s="240">
        <v>45898</v>
      </c>
      <c r="I50" s="213"/>
      <c r="J50" s="215">
        <f t="shared" si="7"/>
        <v>2738900</v>
      </c>
      <c r="K50" s="216"/>
      <c r="L50" s="213"/>
      <c r="M50" s="213"/>
      <c r="N50" s="213"/>
      <c r="O50" s="217">
        <f t="shared" si="8"/>
        <v>0</v>
      </c>
      <c r="P50" s="268">
        <f>IF(COUNT(N50),0,K50)-O50</f>
        <v>0</v>
      </c>
      <c r="Q50" s="217">
        <f>J50-P50</f>
        <v>2738900</v>
      </c>
      <c r="R50" s="367" t="s">
        <v>303</v>
      </c>
      <c r="S50" s="367"/>
      <c r="T50" s="367"/>
      <c r="U50" s="367"/>
      <c r="V50" s="367"/>
    </row>
    <row r="51" spans="1:22" s="185" customFormat="1" ht="24.75" customHeight="1">
      <c r="A51" s="223">
        <v>5</v>
      </c>
      <c r="B51" s="208">
        <v>45916</v>
      </c>
      <c r="C51" s="209" t="s">
        <v>270</v>
      </c>
      <c r="D51" s="209" t="s">
        <v>304</v>
      </c>
      <c r="E51" s="211">
        <v>290340000</v>
      </c>
      <c r="F51" s="270">
        <f>((E51*2%)-2760000)/2</f>
        <v>1523400</v>
      </c>
      <c r="G51" s="235">
        <v>45930</v>
      </c>
      <c r="H51" s="240">
        <v>46021</v>
      </c>
      <c r="I51" s="235"/>
      <c r="J51" s="237">
        <f t="shared" si="7"/>
        <v>1523400</v>
      </c>
      <c r="K51" s="216"/>
      <c r="L51" s="235"/>
      <c r="M51" s="235"/>
      <c r="N51" s="235"/>
      <c r="O51" s="239">
        <f t="shared" si="8"/>
        <v>0</v>
      </c>
      <c r="P51" s="272"/>
      <c r="Q51" s="239">
        <f>표6[[#This Row],[미수금액]]</f>
        <v>1523400</v>
      </c>
      <c r="R51" s="367" t="s">
        <v>305</v>
      </c>
      <c r="S51" s="367"/>
      <c r="T51" s="367"/>
      <c r="U51" s="367"/>
      <c r="V51" s="367"/>
    </row>
    <row r="52" spans="1:22" s="185" customFormat="1" ht="24.75" customHeight="1">
      <c r="A52" s="223">
        <v>6</v>
      </c>
      <c r="B52" s="208">
        <v>45964</v>
      </c>
      <c r="C52" s="209" t="s">
        <v>284</v>
      </c>
      <c r="D52" s="209" t="s">
        <v>306</v>
      </c>
      <c r="E52" s="211">
        <v>177000000</v>
      </c>
      <c r="F52" s="270">
        <f>((E52*2%)-243000)/2</f>
        <v>1648500</v>
      </c>
      <c r="G52" s="213">
        <v>46006</v>
      </c>
      <c r="H52" s="220">
        <v>46022</v>
      </c>
      <c r="I52" s="213"/>
      <c r="J52" s="215">
        <f t="shared" si="7"/>
        <v>1648500</v>
      </c>
      <c r="K52" s="216"/>
      <c r="L52" s="213"/>
      <c r="M52" s="213"/>
      <c r="N52" s="213"/>
      <c r="O52" s="217">
        <f t="shared" si="8"/>
        <v>0</v>
      </c>
      <c r="P52" s="268">
        <f t="shared" ref="P52:P62" si="10">IF(COUNT(N52),0,K52)-O52</f>
        <v>0</v>
      </c>
      <c r="Q52" s="217">
        <f t="shared" ref="Q52:Q61" si="11">J52-P52</f>
        <v>1648500</v>
      </c>
      <c r="R52" s="367" t="s">
        <v>307</v>
      </c>
      <c r="S52" s="367"/>
      <c r="T52" s="367"/>
      <c r="U52" s="367"/>
      <c r="V52" s="367"/>
    </row>
    <row r="53" spans="1:22" s="185" customFormat="1" ht="24.75" customHeight="1">
      <c r="A53" s="223">
        <v>7</v>
      </c>
      <c r="B53" s="208">
        <v>45999</v>
      </c>
      <c r="C53" s="209" t="s">
        <v>284</v>
      </c>
      <c r="D53" s="209" t="s">
        <v>308</v>
      </c>
      <c r="E53" s="211">
        <v>262500000</v>
      </c>
      <c r="F53" s="270">
        <f>E53*1%</f>
        <v>2625000</v>
      </c>
      <c r="G53" s="213">
        <v>46006</v>
      </c>
      <c r="H53" s="220">
        <v>46022</v>
      </c>
      <c r="I53" s="213"/>
      <c r="J53" s="215">
        <f t="shared" si="7"/>
        <v>2625000</v>
      </c>
      <c r="K53" s="216"/>
      <c r="L53" s="213"/>
      <c r="M53" s="213"/>
      <c r="N53" s="213"/>
      <c r="O53" s="217">
        <f t="shared" si="8"/>
        <v>0</v>
      </c>
      <c r="P53" s="268">
        <f t="shared" si="10"/>
        <v>0</v>
      </c>
      <c r="Q53" s="217">
        <f t="shared" si="11"/>
        <v>2625000</v>
      </c>
      <c r="R53" s="366"/>
      <c r="S53" s="366"/>
      <c r="T53" s="366"/>
      <c r="U53" s="366"/>
      <c r="V53" s="366"/>
    </row>
    <row r="54" spans="1:22" s="185" customFormat="1" ht="24.75" customHeight="1">
      <c r="A54" s="223">
        <v>8</v>
      </c>
      <c r="B54" s="230">
        <v>45999</v>
      </c>
      <c r="C54" s="231" t="s">
        <v>309</v>
      </c>
      <c r="D54" s="231" t="s">
        <v>310</v>
      </c>
      <c r="E54" s="233">
        <v>12500000</v>
      </c>
      <c r="F54" s="270">
        <f>E54*1%</f>
        <v>125000</v>
      </c>
      <c r="G54" s="213">
        <v>46006</v>
      </c>
      <c r="H54" s="220">
        <v>46022</v>
      </c>
      <c r="I54" s="235"/>
      <c r="J54" s="237">
        <f t="shared" si="7"/>
        <v>125000</v>
      </c>
      <c r="K54" s="238"/>
      <c r="L54" s="235"/>
      <c r="M54" s="235"/>
      <c r="N54" s="235"/>
      <c r="O54" s="239">
        <f t="shared" si="8"/>
        <v>0</v>
      </c>
      <c r="P54" s="272">
        <f t="shared" si="10"/>
        <v>0</v>
      </c>
      <c r="Q54" s="217">
        <f t="shared" si="11"/>
        <v>125000</v>
      </c>
      <c r="R54" s="366"/>
      <c r="S54" s="366"/>
      <c r="T54" s="366"/>
      <c r="U54" s="366"/>
      <c r="V54" s="366"/>
    </row>
    <row r="55" spans="1:22" s="185" customFormat="1" ht="24.75" customHeight="1">
      <c r="A55" s="223">
        <v>9</v>
      </c>
      <c r="B55" s="208">
        <v>45999</v>
      </c>
      <c r="C55" s="209" t="s">
        <v>311</v>
      </c>
      <c r="D55" s="209" t="s">
        <v>312</v>
      </c>
      <c r="E55" s="211">
        <v>49500000</v>
      </c>
      <c r="F55" s="228">
        <f>E55*1%</f>
        <v>495000</v>
      </c>
      <c r="G55" s="213">
        <v>46006</v>
      </c>
      <c r="H55" s="220">
        <v>46022</v>
      </c>
      <c r="I55" s="213"/>
      <c r="J55" s="215">
        <f t="shared" si="7"/>
        <v>495000</v>
      </c>
      <c r="K55" s="216"/>
      <c r="L55" s="213"/>
      <c r="M55" s="213"/>
      <c r="N55" s="213"/>
      <c r="O55" s="217">
        <f t="shared" si="8"/>
        <v>0</v>
      </c>
      <c r="P55" s="268">
        <f t="shared" si="10"/>
        <v>0</v>
      </c>
      <c r="Q55" s="217">
        <f t="shared" si="11"/>
        <v>495000</v>
      </c>
      <c r="R55" s="366"/>
      <c r="S55" s="366"/>
      <c r="T55" s="366"/>
      <c r="U55" s="366"/>
      <c r="V55" s="366"/>
    </row>
    <row r="56" spans="1:22" s="185" customFormat="1" ht="24.75" customHeight="1">
      <c r="A56" s="223">
        <v>10</v>
      </c>
      <c r="B56" s="208">
        <v>45974</v>
      </c>
      <c r="C56" s="209" t="s">
        <v>311</v>
      </c>
      <c r="D56" s="209" t="s">
        <v>313</v>
      </c>
      <c r="E56" s="211">
        <v>160000000</v>
      </c>
      <c r="F56" s="270">
        <f>((E56*2%)-2230000)/2</f>
        <v>485000</v>
      </c>
      <c r="G56" s="213">
        <v>46006</v>
      </c>
      <c r="H56" s="220">
        <v>46022</v>
      </c>
      <c r="I56" s="213"/>
      <c r="J56" s="215">
        <f t="shared" si="7"/>
        <v>485000</v>
      </c>
      <c r="K56" s="216"/>
      <c r="L56" s="213"/>
      <c r="M56" s="213"/>
      <c r="N56" s="213"/>
      <c r="O56" s="217">
        <f t="shared" si="8"/>
        <v>0</v>
      </c>
      <c r="P56" s="268">
        <f t="shared" si="10"/>
        <v>0</v>
      </c>
      <c r="Q56" s="217">
        <f t="shared" si="11"/>
        <v>485000</v>
      </c>
      <c r="R56" s="367" t="s">
        <v>314</v>
      </c>
      <c r="S56" s="367"/>
      <c r="T56" s="367"/>
      <c r="U56" s="367"/>
      <c r="V56" s="367"/>
    </row>
    <row r="57" spans="1:22" s="185" customFormat="1" ht="24.75" customHeight="1">
      <c r="A57" s="223">
        <v>11</v>
      </c>
      <c r="B57" s="208">
        <v>46007</v>
      </c>
      <c r="C57" s="209" t="s">
        <v>315</v>
      </c>
      <c r="D57" s="209" t="s">
        <v>316</v>
      </c>
      <c r="E57" s="211">
        <v>163600000</v>
      </c>
      <c r="F57" s="270">
        <f>((E57*2%)-1947000)/2</f>
        <v>662500</v>
      </c>
      <c r="G57" s="213">
        <v>46009</v>
      </c>
      <c r="H57" s="220">
        <v>46022</v>
      </c>
      <c r="I57" s="213"/>
      <c r="J57" s="215">
        <f t="shared" si="7"/>
        <v>662500</v>
      </c>
      <c r="K57" s="216"/>
      <c r="L57" s="213"/>
      <c r="M57" s="213"/>
      <c r="N57" s="213"/>
      <c r="O57" s="217">
        <f t="shared" si="8"/>
        <v>0</v>
      </c>
      <c r="P57" s="268">
        <f t="shared" si="10"/>
        <v>0</v>
      </c>
      <c r="Q57" s="217">
        <f t="shared" si="11"/>
        <v>662500</v>
      </c>
      <c r="R57" s="367" t="s">
        <v>317</v>
      </c>
      <c r="S57" s="367"/>
      <c r="T57" s="367"/>
      <c r="U57" s="367"/>
      <c r="V57" s="367"/>
    </row>
    <row r="58" spans="1:22" s="185" customFormat="1" ht="24.75" customHeight="1">
      <c r="A58" s="223">
        <v>12</v>
      </c>
      <c r="B58" s="208">
        <v>45999</v>
      </c>
      <c r="C58" s="209" t="s">
        <v>318</v>
      </c>
      <c r="D58" s="209" t="s">
        <v>319</v>
      </c>
      <c r="E58" s="211">
        <f>20740000+30700000</f>
        <v>51440000</v>
      </c>
      <c r="F58" s="270">
        <f>((E58*2%)-944100)/2</f>
        <v>42350</v>
      </c>
      <c r="G58" s="213">
        <v>46009</v>
      </c>
      <c r="H58" s="220">
        <v>46022</v>
      </c>
      <c r="I58" s="213"/>
      <c r="J58" s="215">
        <f t="shared" si="7"/>
        <v>42350</v>
      </c>
      <c r="K58" s="216"/>
      <c r="L58" s="213"/>
      <c r="M58" s="213"/>
      <c r="N58" s="213"/>
      <c r="O58" s="217">
        <f t="shared" si="8"/>
        <v>0</v>
      </c>
      <c r="P58" s="268">
        <f t="shared" si="10"/>
        <v>0</v>
      </c>
      <c r="Q58" s="217">
        <f t="shared" si="11"/>
        <v>42350</v>
      </c>
      <c r="R58" s="367" t="s">
        <v>320</v>
      </c>
      <c r="S58" s="367"/>
      <c r="T58" s="367"/>
      <c r="U58" s="367"/>
      <c r="V58" s="367"/>
    </row>
    <row r="59" spans="1:22" s="185" customFormat="1" ht="24.75" customHeight="1">
      <c r="A59" s="223">
        <v>13</v>
      </c>
      <c r="B59" s="208">
        <v>45945</v>
      </c>
      <c r="C59" s="209" t="s">
        <v>321</v>
      </c>
      <c r="D59" s="209" t="s">
        <v>322</v>
      </c>
      <c r="E59" s="211">
        <v>705000000</v>
      </c>
      <c r="F59" s="270">
        <f>((E59*2%)-7024600)/2</f>
        <v>3537700</v>
      </c>
      <c r="G59" s="213">
        <v>46009</v>
      </c>
      <c r="H59" s="220">
        <v>46052</v>
      </c>
      <c r="I59" s="213"/>
      <c r="J59" s="215">
        <f t="shared" si="7"/>
        <v>3537700</v>
      </c>
      <c r="K59" s="216"/>
      <c r="L59" s="213"/>
      <c r="M59" s="213"/>
      <c r="N59" s="213"/>
      <c r="O59" s="217">
        <f t="shared" si="8"/>
        <v>0</v>
      </c>
      <c r="P59" s="268">
        <f t="shared" si="10"/>
        <v>0</v>
      </c>
      <c r="Q59" s="217">
        <f t="shared" si="11"/>
        <v>3537700</v>
      </c>
      <c r="R59" s="367" t="s">
        <v>323</v>
      </c>
      <c r="S59" s="367"/>
      <c r="T59" s="367"/>
      <c r="U59" s="367"/>
      <c r="V59" s="367"/>
    </row>
    <row r="60" spans="1:22" s="185" customFormat="1" ht="24.75" customHeight="1">
      <c r="A60" s="223">
        <v>14</v>
      </c>
      <c r="B60" s="230">
        <v>45916</v>
      </c>
      <c r="C60" s="231" t="s">
        <v>260</v>
      </c>
      <c r="D60" s="231" t="s">
        <v>324</v>
      </c>
      <c r="E60" s="233">
        <v>418000000</v>
      </c>
      <c r="F60" s="270">
        <f>((E60*2%)-3960000)/2</f>
        <v>2200000</v>
      </c>
      <c r="G60" s="235">
        <v>46009</v>
      </c>
      <c r="H60" s="240">
        <v>46022</v>
      </c>
      <c r="I60" s="235"/>
      <c r="J60" s="237">
        <f t="shared" si="7"/>
        <v>2200000</v>
      </c>
      <c r="K60" s="238"/>
      <c r="L60" s="235"/>
      <c r="M60" s="235"/>
      <c r="N60" s="235"/>
      <c r="O60" s="239">
        <f t="shared" si="8"/>
        <v>0</v>
      </c>
      <c r="P60" s="272">
        <f t="shared" si="10"/>
        <v>0</v>
      </c>
      <c r="Q60" s="217">
        <f t="shared" si="11"/>
        <v>2200000</v>
      </c>
      <c r="R60" s="367" t="s">
        <v>325</v>
      </c>
      <c r="S60" s="367"/>
      <c r="T60" s="367"/>
      <c r="U60" s="367"/>
      <c r="V60" s="367"/>
    </row>
    <row r="61" spans="1:22" s="185" customFormat="1" ht="24.75" customHeight="1">
      <c r="A61" s="223">
        <v>15</v>
      </c>
      <c r="B61" s="208">
        <v>46010</v>
      </c>
      <c r="C61" s="209" t="s">
        <v>258</v>
      </c>
      <c r="D61" s="209" t="s">
        <v>326</v>
      </c>
      <c r="E61" s="211">
        <v>128000000</v>
      </c>
      <c r="F61" s="228">
        <f>((E61*2%)-1350000)/2</f>
        <v>605000</v>
      </c>
      <c r="G61" s="213">
        <v>46015</v>
      </c>
      <c r="H61" s="220">
        <v>46022</v>
      </c>
      <c r="I61" s="213"/>
      <c r="J61" s="215">
        <f t="shared" si="7"/>
        <v>605000</v>
      </c>
      <c r="K61" s="216"/>
      <c r="L61" s="213"/>
      <c r="M61" s="213"/>
      <c r="N61" s="213"/>
      <c r="O61" s="217">
        <f t="shared" si="8"/>
        <v>0</v>
      </c>
      <c r="P61" s="268">
        <f t="shared" si="10"/>
        <v>0</v>
      </c>
      <c r="Q61" s="217">
        <f t="shared" si="11"/>
        <v>605000</v>
      </c>
      <c r="R61" s="367" t="s">
        <v>327</v>
      </c>
      <c r="S61" s="367"/>
      <c r="T61" s="367"/>
      <c r="U61" s="367"/>
      <c r="V61" s="367"/>
    </row>
    <row r="62" spans="1:22" s="185" customFormat="1" ht="24.75" customHeight="1">
      <c r="A62" s="223">
        <v>16</v>
      </c>
      <c r="B62" s="230">
        <v>46020</v>
      </c>
      <c r="C62" s="231" t="s">
        <v>274</v>
      </c>
      <c r="D62" s="231" t="s">
        <v>328</v>
      </c>
      <c r="E62" s="233">
        <v>1079500000</v>
      </c>
      <c r="F62" s="270"/>
      <c r="G62" s="235"/>
      <c r="H62" s="235"/>
      <c r="I62" s="235"/>
      <c r="J62" s="237">
        <f t="shared" si="7"/>
        <v>0</v>
      </c>
      <c r="K62" s="238">
        <f>E62*0.5%</f>
        <v>5397500</v>
      </c>
      <c r="L62" s="235">
        <v>46015</v>
      </c>
      <c r="M62" s="240">
        <v>46022</v>
      </c>
      <c r="N62" s="235"/>
      <c r="O62" s="239">
        <f t="shared" si="8"/>
        <v>5397500</v>
      </c>
      <c r="P62" s="272">
        <f t="shared" si="10"/>
        <v>0</v>
      </c>
      <c r="Q62" s="239">
        <f>O62-P62</f>
        <v>5397500</v>
      </c>
      <c r="R62" s="366"/>
      <c r="S62" s="366"/>
      <c r="T62" s="366"/>
      <c r="U62" s="366"/>
      <c r="V62" s="366"/>
    </row>
    <row r="63" spans="1:22" s="185" customFormat="1" ht="24.75" customHeight="1">
      <c r="A63" s="274">
        <f>A62+1</f>
        <v>17</v>
      </c>
      <c r="B63" s="275">
        <v>46020</v>
      </c>
      <c r="C63" s="276" t="s">
        <v>329</v>
      </c>
      <c r="D63" s="276" t="s">
        <v>330</v>
      </c>
      <c r="E63" s="277">
        <v>63000000</v>
      </c>
      <c r="F63" s="248">
        <f>E63*1%</f>
        <v>630000</v>
      </c>
      <c r="G63" s="278">
        <v>46021</v>
      </c>
      <c r="H63" s="278">
        <v>46021</v>
      </c>
      <c r="I63" s="278">
        <v>46024</v>
      </c>
      <c r="J63" s="279">
        <f t="shared" si="7"/>
        <v>0</v>
      </c>
      <c r="K63" s="280"/>
      <c r="L63" s="278"/>
      <c r="M63" s="278"/>
      <c r="N63" s="278"/>
      <c r="O63" s="281">
        <f t="shared" si="8"/>
        <v>0</v>
      </c>
      <c r="P63" s="282"/>
      <c r="Q63" s="281">
        <f>IF(COUNT(O63),0,L63)</f>
        <v>0</v>
      </c>
      <c r="R63" s="368"/>
      <c r="S63" s="368"/>
      <c r="T63" s="368"/>
      <c r="U63" s="368"/>
      <c r="V63" s="368"/>
    </row>
    <row r="64" spans="1:22" s="186" customFormat="1" ht="24.75" customHeight="1"/>
    <row r="65" spans="1:31" s="186" customFormat="1" ht="24.75" customHeight="1"/>
    <row r="66" spans="1:31" s="185" customFormat="1" ht="24.75" customHeight="1">
      <c r="A66" s="369" t="s">
        <v>331</v>
      </c>
      <c r="B66" s="369"/>
      <c r="C66" s="369"/>
      <c r="D66" s="369"/>
      <c r="E66" s="369"/>
      <c r="F66" s="369"/>
      <c r="G66" s="370" t="s">
        <v>332</v>
      </c>
      <c r="H66" s="370"/>
      <c r="I66" s="370"/>
      <c r="J66" s="370"/>
      <c r="K66" s="370"/>
      <c r="L66" s="371" t="s">
        <v>333</v>
      </c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2" t="s">
        <v>334</v>
      </c>
      <c r="X66" s="372"/>
      <c r="Y66" s="372"/>
      <c r="Z66" s="372"/>
      <c r="AA66" s="372"/>
      <c r="AB66" s="372"/>
      <c r="AC66" s="283"/>
      <c r="AD66" s="283"/>
      <c r="AE66" s="283"/>
    </row>
    <row r="67" spans="1:31" s="185" customFormat="1" ht="24.75" customHeight="1">
      <c r="A67" s="259" t="s">
        <v>174</v>
      </c>
      <c r="B67" s="188" t="s">
        <v>41</v>
      </c>
      <c r="C67" s="189" t="s">
        <v>42</v>
      </c>
      <c r="D67" s="189" t="s">
        <v>335</v>
      </c>
      <c r="E67" s="188" t="s">
        <v>252</v>
      </c>
      <c r="F67" s="190" t="s">
        <v>336</v>
      </c>
      <c r="G67" s="373" t="s">
        <v>337</v>
      </c>
      <c r="H67" s="373"/>
      <c r="I67" s="374" t="s">
        <v>338</v>
      </c>
      <c r="J67" s="374"/>
      <c r="K67" s="188" t="s">
        <v>339</v>
      </c>
      <c r="L67" s="375" t="s">
        <v>340</v>
      </c>
      <c r="M67" s="375"/>
      <c r="N67" s="375" t="s">
        <v>341</v>
      </c>
      <c r="O67" s="375"/>
      <c r="P67" s="188" t="s">
        <v>342</v>
      </c>
      <c r="Q67" s="188" t="s">
        <v>343</v>
      </c>
      <c r="R67" s="285" t="s">
        <v>61</v>
      </c>
      <c r="S67" s="285" t="s">
        <v>62</v>
      </c>
      <c r="T67" s="285" t="s">
        <v>63</v>
      </c>
      <c r="U67" s="188" t="s">
        <v>64</v>
      </c>
      <c r="V67" s="188" t="s">
        <v>344</v>
      </c>
      <c r="W67" s="189" t="s">
        <v>345</v>
      </c>
      <c r="X67" s="284" t="s">
        <v>346</v>
      </c>
      <c r="Y67" s="285" t="s">
        <v>177</v>
      </c>
      <c r="Z67" s="285" t="s">
        <v>178</v>
      </c>
      <c r="AA67" s="284" t="s">
        <v>179</v>
      </c>
      <c r="AB67" s="258" t="s">
        <v>347</v>
      </c>
      <c r="AC67" s="286" t="s">
        <v>348</v>
      </c>
      <c r="AD67" s="287" t="s">
        <v>202</v>
      </c>
      <c r="AE67" s="329"/>
    </row>
    <row r="68" spans="1:31" s="222" customFormat="1" ht="24.75" customHeight="1">
      <c r="A68" s="377">
        <v>1</v>
      </c>
      <c r="B68" s="378" t="s">
        <v>349</v>
      </c>
      <c r="C68" s="379" t="s">
        <v>350</v>
      </c>
      <c r="D68" s="380" t="s">
        <v>351</v>
      </c>
      <c r="E68" s="381">
        <f>SUM(F68:F69)</f>
        <v>179900000</v>
      </c>
      <c r="F68" s="288">
        <v>108900000</v>
      </c>
      <c r="G68" s="388">
        <v>0.12</v>
      </c>
      <c r="H68" s="388"/>
      <c r="I68" s="389">
        <f>F68*G68</f>
        <v>13068000</v>
      </c>
      <c r="J68" s="389"/>
      <c r="K68" s="390">
        <f>SUM(I68:J70)</f>
        <v>20168000</v>
      </c>
      <c r="L68" s="391">
        <v>107480000</v>
      </c>
      <c r="M68" s="391"/>
      <c r="N68" s="376">
        <v>10000000</v>
      </c>
      <c r="O68" s="376"/>
      <c r="P68" s="376">
        <v>94680</v>
      </c>
      <c r="Q68" s="376">
        <v>0</v>
      </c>
      <c r="R68" s="376">
        <v>0</v>
      </c>
      <c r="S68" s="376">
        <v>0</v>
      </c>
      <c r="T68" s="376">
        <v>200000</v>
      </c>
      <c r="U68" s="376">
        <v>0</v>
      </c>
      <c r="V68" s="383">
        <f>SUM(L68:U69)</f>
        <v>117774680</v>
      </c>
      <c r="W68" s="384">
        <f>E68-K68-V68</f>
        <v>41957320</v>
      </c>
      <c r="X68" s="289">
        <f>W68*70%</f>
        <v>29370124</v>
      </c>
      <c r="Y68" s="290">
        <v>45649</v>
      </c>
      <c r="Z68" s="290"/>
      <c r="AA68" s="290">
        <v>45667</v>
      </c>
      <c r="AB68" s="289">
        <f>IF(COUNT(AA68),0,X68)</f>
        <v>0</v>
      </c>
      <c r="AC68" s="289"/>
      <c r="AD68" s="291">
        <f>SUM(IF(COUNTBLANK(X68),V68,0))</f>
        <v>0</v>
      </c>
      <c r="AE68" s="297"/>
    </row>
    <row r="69" spans="1:31" s="222" customFormat="1" ht="24.75" customHeight="1">
      <c r="A69" s="377"/>
      <c r="B69" s="378"/>
      <c r="C69" s="378"/>
      <c r="D69" s="380"/>
      <c r="E69" s="381"/>
      <c r="F69" s="385">
        <v>71000000</v>
      </c>
      <c r="G69" s="386">
        <v>0.1</v>
      </c>
      <c r="H69" s="386"/>
      <c r="I69" s="387">
        <f>F69*G69</f>
        <v>7100000</v>
      </c>
      <c r="J69" s="387"/>
      <c r="K69" s="390"/>
      <c r="L69" s="391"/>
      <c r="M69" s="391"/>
      <c r="N69" s="376"/>
      <c r="O69" s="376"/>
      <c r="P69" s="376"/>
      <c r="Q69" s="376"/>
      <c r="R69" s="376"/>
      <c r="S69" s="376"/>
      <c r="T69" s="376"/>
      <c r="U69" s="376"/>
      <c r="V69" s="383"/>
      <c r="W69" s="384"/>
      <c r="X69" s="218">
        <f>(W68-X68)-X70</f>
        <v>7587196</v>
      </c>
      <c r="Y69" s="382">
        <v>45657</v>
      </c>
      <c r="Z69" s="213"/>
      <c r="AA69" s="213">
        <v>45667</v>
      </c>
      <c r="AB69" s="218">
        <f>IF(COUNT(AA69),0,X69)</f>
        <v>0</v>
      </c>
      <c r="AC69" s="218"/>
      <c r="AD69" s="293">
        <f>SUM(IF(COUNTBLANK(X69),V68,0))</f>
        <v>0</v>
      </c>
      <c r="AE69" s="297"/>
    </row>
    <row r="70" spans="1:31" s="222" customFormat="1" ht="24.75" customHeight="1">
      <c r="A70" s="377"/>
      <c r="B70" s="378"/>
      <c r="C70" s="378"/>
      <c r="D70" s="380"/>
      <c r="E70" s="381"/>
      <c r="F70" s="385"/>
      <c r="G70" s="386"/>
      <c r="H70" s="386"/>
      <c r="I70" s="387"/>
      <c r="J70" s="387"/>
      <c r="K70" s="390"/>
      <c r="L70" s="391"/>
      <c r="M70" s="391"/>
      <c r="N70" s="376"/>
      <c r="O70" s="376"/>
      <c r="P70" s="376"/>
      <c r="Q70" s="376"/>
      <c r="R70" s="376"/>
      <c r="S70" s="376"/>
      <c r="T70" s="376"/>
      <c r="U70" s="376"/>
      <c r="V70" s="383"/>
      <c r="W70" s="384"/>
      <c r="X70" s="292">
        <v>5000000</v>
      </c>
      <c r="Y70" s="382"/>
      <c r="Z70" s="278"/>
      <c r="AA70" s="278"/>
      <c r="AB70" s="292">
        <f>IF(COUNT(AA70),0,X70)</f>
        <v>5000000</v>
      </c>
      <c r="AC70" s="292">
        <f>X70-AA70</f>
        <v>5000000</v>
      </c>
      <c r="AD70" s="294">
        <f>SUM(IF(COUNTBLANK(X70),V70,0))</f>
        <v>0</v>
      </c>
      <c r="AE70" s="297"/>
    </row>
    <row r="71" spans="1:31" s="222" customFormat="1" ht="24.75" customHeight="1">
      <c r="B71" s="295"/>
      <c r="G71" s="296"/>
      <c r="H71" s="296"/>
      <c r="I71" s="297"/>
      <c r="J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X71" s="297"/>
      <c r="Y71" s="298"/>
      <c r="Z71" s="298"/>
      <c r="AA71" s="298"/>
      <c r="AB71" s="297"/>
      <c r="AC71" s="297"/>
      <c r="AD71" s="297"/>
      <c r="AE71" s="297"/>
    </row>
    <row r="73" spans="1:31" ht="24.75" customHeight="1">
      <c r="A73" s="299" t="s">
        <v>352</v>
      </c>
    </row>
    <row r="74" spans="1:31" ht="34.5" customHeight="1">
      <c r="A74" s="300" t="s">
        <v>353</v>
      </c>
      <c r="B74" s="301" t="s">
        <v>41</v>
      </c>
      <c r="C74" s="301" t="s">
        <v>42</v>
      </c>
      <c r="D74" s="301" t="s">
        <v>354</v>
      </c>
      <c r="E74" s="301" t="s">
        <v>112</v>
      </c>
      <c r="F74" s="301" t="s">
        <v>355</v>
      </c>
      <c r="G74" s="302" t="s">
        <v>51</v>
      </c>
      <c r="H74" s="301" t="s">
        <v>253</v>
      </c>
      <c r="I74" s="303" t="s">
        <v>180</v>
      </c>
      <c r="J74" s="304" t="s">
        <v>50</v>
      </c>
      <c r="K74" s="305" t="s">
        <v>356</v>
      </c>
    </row>
    <row r="75" spans="1:31" ht="24.75" customHeight="1">
      <c r="A75" s="306">
        <v>45237</v>
      </c>
      <c r="B75" s="307" t="s">
        <v>295</v>
      </c>
      <c r="C75" s="308" t="s">
        <v>357</v>
      </c>
      <c r="D75" s="309">
        <v>1265000</v>
      </c>
      <c r="E75" s="309">
        <f t="shared" ref="E75:E106" si="12">D75*10%</f>
        <v>126500</v>
      </c>
      <c r="F75" s="309">
        <f t="shared" ref="F75:F106" si="13">SUM(D75:E75)</f>
        <v>1391500</v>
      </c>
      <c r="G75" s="310"/>
      <c r="H75" s="309"/>
      <c r="I75" s="311">
        <f>F75-H75</f>
        <v>1391500</v>
      </c>
      <c r="J75" s="310">
        <v>45777</v>
      </c>
      <c r="K75" s="312" t="s">
        <v>358</v>
      </c>
    </row>
    <row r="76" spans="1:31" ht="24.75" customHeight="1">
      <c r="A76" s="306">
        <v>45433</v>
      </c>
      <c r="B76" s="307" t="s">
        <v>295</v>
      </c>
      <c r="C76" s="308" t="s">
        <v>359</v>
      </c>
      <c r="D76" s="309">
        <v>48041200</v>
      </c>
      <c r="E76" s="309">
        <f t="shared" si="12"/>
        <v>4804120</v>
      </c>
      <c r="F76" s="309">
        <f t="shared" si="13"/>
        <v>52845320</v>
      </c>
      <c r="G76" s="310"/>
      <c r="H76" s="309"/>
      <c r="I76" s="311">
        <f>F76-H76</f>
        <v>52845320</v>
      </c>
      <c r="J76" s="310">
        <v>45777</v>
      </c>
      <c r="K76" s="312" t="s">
        <v>358</v>
      </c>
    </row>
    <row r="77" spans="1:31" ht="24.75" customHeight="1">
      <c r="A77" s="306">
        <v>45593</v>
      </c>
      <c r="B77" s="307" t="s">
        <v>295</v>
      </c>
      <c r="C77" s="308" t="s">
        <v>359</v>
      </c>
      <c r="D77" s="309">
        <v>8096900</v>
      </c>
      <c r="E77" s="309">
        <f t="shared" si="12"/>
        <v>809690</v>
      </c>
      <c r="F77" s="309">
        <f t="shared" si="13"/>
        <v>8906590</v>
      </c>
      <c r="G77" s="310"/>
      <c r="H77" s="309"/>
      <c r="I77" s="311">
        <f>F77-H77</f>
        <v>8906590</v>
      </c>
      <c r="J77" s="310">
        <v>45777</v>
      </c>
      <c r="K77" s="312" t="s">
        <v>358</v>
      </c>
    </row>
    <row r="78" spans="1:31" ht="24.75" customHeight="1">
      <c r="A78" s="306">
        <v>45455</v>
      </c>
      <c r="B78" s="307" t="s">
        <v>295</v>
      </c>
      <c r="C78" s="308" t="s">
        <v>360</v>
      </c>
      <c r="D78" s="309">
        <v>486000</v>
      </c>
      <c r="E78" s="309">
        <f t="shared" si="12"/>
        <v>48600</v>
      </c>
      <c r="F78" s="309">
        <f t="shared" si="13"/>
        <v>534600</v>
      </c>
      <c r="G78" s="310"/>
      <c r="H78" s="309"/>
      <c r="I78" s="311">
        <f>F78-H78</f>
        <v>534600</v>
      </c>
      <c r="J78" s="310">
        <v>45777</v>
      </c>
      <c r="K78" s="312" t="s">
        <v>358</v>
      </c>
    </row>
    <row r="79" spans="1:31" ht="24.75" customHeight="1">
      <c r="A79" s="306">
        <v>45456</v>
      </c>
      <c r="B79" s="307" t="s">
        <v>295</v>
      </c>
      <c r="C79" s="308" t="s">
        <v>361</v>
      </c>
      <c r="D79" s="309">
        <v>54866200</v>
      </c>
      <c r="E79" s="309">
        <f t="shared" si="12"/>
        <v>5486620</v>
      </c>
      <c r="F79" s="309">
        <f t="shared" si="13"/>
        <v>60352820</v>
      </c>
      <c r="G79" s="310"/>
      <c r="H79" s="309"/>
      <c r="I79" s="311">
        <f>F79-H79</f>
        <v>60352820</v>
      </c>
      <c r="J79" s="310">
        <v>45777</v>
      </c>
      <c r="K79" s="312" t="s">
        <v>358</v>
      </c>
    </row>
    <row r="80" spans="1:31" ht="24.75" customHeight="1">
      <c r="A80" s="313">
        <v>45364</v>
      </c>
      <c r="B80" s="307" t="s">
        <v>362</v>
      </c>
      <c r="C80" s="308" t="s">
        <v>363</v>
      </c>
      <c r="D80" s="309">
        <v>48032100</v>
      </c>
      <c r="E80" s="309">
        <f t="shared" si="12"/>
        <v>4803210</v>
      </c>
      <c r="F80" s="309">
        <f t="shared" si="13"/>
        <v>52835310</v>
      </c>
      <c r="G80" s="314" t="s">
        <v>364</v>
      </c>
      <c r="H80" s="315">
        <f>20000000+12835310+10000000</f>
        <v>42835310</v>
      </c>
      <c r="I80" s="311">
        <f>표5_3[[#This Row],[합 계]]-표5_3[[#This Row],[수금액]]</f>
        <v>10000000</v>
      </c>
      <c r="J80" s="310"/>
      <c r="K80" s="316" t="s">
        <v>365</v>
      </c>
    </row>
    <row r="81" spans="1:11" ht="24.75" customHeight="1">
      <c r="A81" s="306">
        <v>45722</v>
      </c>
      <c r="B81" s="307" t="s">
        <v>366</v>
      </c>
      <c r="C81" s="308" t="s">
        <v>367</v>
      </c>
      <c r="D81" s="309">
        <v>3479000</v>
      </c>
      <c r="E81" s="309">
        <f t="shared" si="12"/>
        <v>347900</v>
      </c>
      <c r="F81" s="309">
        <f t="shared" si="13"/>
        <v>3826900</v>
      </c>
      <c r="G81" s="310"/>
      <c r="H81" s="309"/>
      <c r="I81" s="311">
        <f t="shared" ref="I81:I112" si="14">SUM(F81)-SUM(H81)</f>
        <v>3826900</v>
      </c>
      <c r="J81" s="310">
        <v>45930</v>
      </c>
      <c r="K81" s="316" t="s">
        <v>368</v>
      </c>
    </row>
    <row r="82" spans="1:11" ht="24.75" customHeight="1">
      <c r="A82" s="306">
        <v>45727</v>
      </c>
      <c r="B82" s="307" t="s">
        <v>366</v>
      </c>
      <c r="C82" s="308" t="s">
        <v>369</v>
      </c>
      <c r="D82" s="309">
        <v>5080000</v>
      </c>
      <c r="E82" s="309">
        <f t="shared" si="12"/>
        <v>508000</v>
      </c>
      <c r="F82" s="309">
        <f t="shared" si="13"/>
        <v>5588000</v>
      </c>
      <c r="G82" s="310"/>
      <c r="H82" s="309"/>
      <c r="I82" s="311">
        <f t="shared" si="14"/>
        <v>5588000</v>
      </c>
      <c r="J82" s="310">
        <v>45930</v>
      </c>
      <c r="K82" s="316" t="s">
        <v>368</v>
      </c>
    </row>
    <row r="83" spans="1:11" ht="24.75" customHeight="1">
      <c r="A83" s="306">
        <v>45737</v>
      </c>
      <c r="B83" s="307" t="s">
        <v>366</v>
      </c>
      <c r="C83" s="308" t="s">
        <v>367</v>
      </c>
      <c r="D83" s="309">
        <v>775500</v>
      </c>
      <c r="E83" s="309">
        <f t="shared" si="12"/>
        <v>77550</v>
      </c>
      <c r="F83" s="309">
        <f t="shared" si="13"/>
        <v>853050</v>
      </c>
      <c r="G83" s="310"/>
      <c r="H83" s="309"/>
      <c r="I83" s="311">
        <f t="shared" si="14"/>
        <v>853050</v>
      </c>
      <c r="J83" s="310">
        <v>45930</v>
      </c>
      <c r="K83" s="316" t="s">
        <v>368</v>
      </c>
    </row>
    <row r="84" spans="1:11" ht="24.75" customHeight="1">
      <c r="A84" s="313">
        <v>45743</v>
      </c>
      <c r="B84" s="317" t="s">
        <v>366</v>
      </c>
      <c r="C84" s="318" t="s">
        <v>369</v>
      </c>
      <c r="D84" s="319">
        <v>658000</v>
      </c>
      <c r="E84" s="319">
        <f t="shared" si="12"/>
        <v>65800</v>
      </c>
      <c r="F84" s="319">
        <f t="shared" si="13"/>
        <v>723800</v>
      </c>
      <c r="G84" s="320"/>
      <c r="H84" s="319"/>
      <c r="I84" s="321">
        <f t="shared" si="14"/>
        <v>723800</v>
      </c>
      <c r="J84" s="310">
        <v>45930</v>
      </c>
      <c r="K84" s="316" t="s">
        <v>368</v>
      </c>
    </row>
    <row r="85" spans="1:11" ht="24.75" customHeight="1">
      <c r="A85" s="306">
        <v>45747</v>
      </c>
      <c r="B85" s="307" t="s">
        <v>366</v>
      </c>
      <c r="C85" s="308" t="s">
        <v>367</v>
      </c>
      <c r="D85" s="309">
        <v>3126000</v>
      </c>
      <c r="E85" s="309">
        <f t="shared" si="12"/>
        <v>312600</v>
      </c>
      <c r="F85" s="309">
        <f t="shared" si="13"/>
        <v>3438600</v>
      </c>
      <c r="G85" s="310"/>
      <c r="H85" s="309"/>
      <c r="I85" s="311">
        <f t="shared" si="14"/>
        <v>3438600</v>
      </c>
      <c r="J85" s="310">
        <v>45930</v>
      </c>
      <c r="K85" s="316" t="s">
        <v>368</v>
      </c>
    </row>
    <row r="86" spans="1:11" ht="24.75" customHeight="1">
      <c r="A86" s="313">
        <v>45747</v>
      </c>
      <c r="B86" s="317" t="s">
        <v>366</v>
      </c>
      <c r="C86" s="318" t="s">
        <v>370</v>
      </c>
      <c r="D86" s="319">
        <v>329000</v>
      </c>
      <c r="E86" s="319">
        <f t="shared" si="12"/>
        <v>32900</v>
      </c>
      <c r="F86" s="319">
        <f t="shared" si="13"/>
        <v>361900</v>
      </c>
      <c r="G86" s="320"/>
      <c r="H86" s="319"/>
      <c r="I86" s="321">
        <f t="shared" si="14"/>
        <v>361900</v>
      </c>
      <c r="J86" s="310">
        <v>45930</v>
      </c>
      <c r="K86" s="316" t="s">
        <v>368</v>
      </c>
    </row>
    <row r="87" spans="1:11" ht="24.75" customHeight="1">
      <c r="A87" s="306">
        <v>45748</v>
      </c>
      <c r="B87" s="307" t="s">
        <v>366</v>
      </c>
      <c r="C87" s="308" t="s">
        <v>370</v>
      </c>
      <c r="D87" s="309">
        <v>3066000</v>
      </c>
      <c r="E87" s="309">
        <f t="shared" si="12"/>
        <v>306600</v>
      </c>
      <c r="F87" s="309">
        <f t="shared" si="13"/>
        <v>3372600</v>
      </c>
      <c r="G87" s="310"/>
      <c r="H87" s="309"/>
      <c r="I87" s="311">
        <f t="shared" si="14"/>
        <v>3372600</v>
      </c>
      <c r="J87" s="310">
        <v>45930</v>
      </c>
      <c r="K87" s="316" t="s">
        <v>368</v>
      </c>
    </row>
    <row r="88" spans="1:11" ht="24.75" customHeight="1">
      <c r="A88" s="313">
        <v>45750</v>
      </c>
      <c r="B88" s="317" t="s">
        <v>366</v>
      </c>
      <c r="C88" s="318" t="s">
        <v>367</v>
      </c>
      <c r="D88" s="319">
        <v>474000</v>
      </c>
      <c r="E88" s="319">
        <f t="shared" si="12"/>
        <v>47400</v>
      </c>
      <c r="F88" s="319">
        <f t="shared" si="13"/>
        <v>521400</v>
      </c>
      <c r="G88" s="320"/>
      <c r="H88" s="319"/>
      <c r="I88" s="321">
        <f t="shared" si="14"/>
        <v>521400</v>
      </c>
      <c r="J88" s="310">
        <v>45930</v>
      </c>
      <c r="K88" s="316" t="s">
        <v>368</v>
      </c>
    </row>
    <row r="89" spans="1:11" ht="24.75" customHeight="1">
      <c r="A89" s="306">
        <v>45771</v>
      </c>
      <c r="B89" s="307" t="s">
        <v>366</v>
      </c>
      <c r="C89" s="308" t="s">
        <v>370</v>
      </c>
      <c r="D89" s="309">
        <v>4867000</v>
      </c>
      <c r="E89" s="309">
        <f t="shared" si="12"/>
        <v>486700</v>
      </c>
      <c r="F89" s="309">
        <f t="shared" si="13"/>
        <v>5353700</v>
      </c>
      <c r="G89" s="310"/>
      <c r="H89" s="309"/>
      <c r="I89" s="311">
        <f t="shared" si="14"/>
        <v>5353700</v>
      </c>
      <c r="J89" s="310">
        <v>45930</v>
      </c>
      <c r="K89" s="316" t="s">
        <v>368</v>
      </c>
    </row>
    <row r="90" spans="1:11" ht="24.75" customHeight="1">
      <c r="A90" s="306">
        <v>45785</v>
      </c>
      <c r="B90" s="317" t="s">
        <v>366</v>
      </c>
      <c r="C90" s="318" t="s">
        <v>370</v>
      </c>
      <c r="D90" s="319">
        <v>607500</v>
      </c>
      <c r="E90" s="319">
        <f t="shared" si="12"/>
        <v>60750</v>
      </c>
      <c r="F90" s="319">
        <f t="shared" si="13"/>
        <v>668250</v>
      </c>
      <c r="G90" s="320"/>
      <c r="H90" s="319"/>
      <c r="I90" s="321">
        <f t="shared" si="14"/>
        <v>668250</v>
      </c>
      <c r="J90" s="310">
        <v>45930</v>
      </c>
      <c r="K90" s="316" t="s">
        <v>368</v>
      </c>
    </row>
    <row r="91" spans="1:11" ht="24.75" customHeight="1">
      <c r="A91" s="306">
        <v>45806</v>
      </c>
      <c r="B91" s="307" t="s">
        <v>366</v>
      </c>
      <c r="C91" s="308" t="s">
        <v>367</v>
      </c>
      <c r="D91" s="309">
        <v>3253400</v>
      </c>
      <c r="E91" s="319">
        <f t="shared" si="12"/>
        <v>325340</v>
      </c>
      <c r="F91" s="319">
        <f t="shared" si="13"/>
        <v>3578740</v>
      </c>
      <c r="G91" s="310"/>
      <c r="H91" s="309"/>
      <c r="I91" s="321">
        <f t="shared" si="14"/>
        <v>3578740</v>
      </c>
      <c r="J91" s="310">
        <v>45930</v>
      </c>
      <c r="K91" s="316" t="s">
        <v>368</v>
      </c>
    </row>
    <row r="92" spans="1:11" ht="24.75" customHeight="1">
      <c r="A92" s="306">
        <v>45818</v>
      </c>
      <c r="B92" s="317" t="s">
        <v>366</v>
      </c>
      <c r="C92" s="318" t="s">
        <v>367</v>
      </c>
      <c r="D92" s="319">
        <v>2426000</v>
      </c>
      <c r="E92" s="319">
        <f t="shared" si="12"/>
        <v>242600</v>
      </c>
      <c r="F92" s="319">
        <f t="shared" si="13"/>
        <v>2668600</v>
      </c>
      <c r="G92" s="320"/>
      <c r="H92" s="319"/>
      <c r="I92" s="321">
        <f t="shared" si="14"/>
        <v>2668600</v>
      </c>
      <c r="J92" s="310">
        <v>45930</v>
      </c>
      <c r="K92" s="316" t="s">
        <v>368</v>
      </c>
    </row>
    <row r="93" spans="1:11" ht="24.75" customHeight="1">
      <c r="A93" s="306">
        <v>45848</v>
      </c>
      <c r="B93" s="307" t="s">
        <v>366</v>
      </c>
      <c r="C93" s="308" t="s">
        <v>367</v>
      </c>
      <c r="D93" s="309">
        <v>2390000</v>
      </c>
      <c r="E93" s="309">
        <f t="shared" si="12"/>
        <v>239000</v>
      </c>
      <c r="F93" s="309">
        <f t="shared" si="13"/>
        <v>2629000</v>
      </c>
      <c r="G93" s="310"/>
      <c r="H93" s="309"/>
      <c r="I93" s="311">
        <f t="shared" si="14"/>
        <v>2629000</v>
      </c>
      <c r="J93" s="310">
        <v>45930</v>
      </c>
      <c r="K93" s="316" t="s">
        <v>368</v>
      </c>
    </row>
    <row r="94" spans="1:11" ht="24.75" customHeight="1">
      <c r="A94" s="306">
        <v>45870</v>
      </c>
      <c r="B94" s="307" t="s">
        <v>366</v>
      </c>
      <c r="C94" s="308" t="s">
        <v>367</v>
      </c>
      <c r="D94" s="309">
        <v>432000</v>
      </c>
      <c r="E94" s="309">
        <f t="shared" si="12"/>
        <v>43200</v>
      </c>
      <c r="F94" s="309">
        <f t="shared" si="13"/>
        <v>475200</v>
      </c>
      <c r="G94" s="310"/>
      <c r="H94" s="309"/>
      <c r="I94" s="311">
        <f t="shared" si="14"/>
        <v>475200</v>
      </c>
      <c r="J94" s="310">
        <v>45930</v>
      </c>
      <c r="K94" s="316"/>
    </row>
    <row r="95" spans="1:11" ht="24.75" customHeight="1">
      <c r="A95" s="306">
        <v>45875</v>
      </c>
      <c r="B95" s="307" t="s">
        <v>371</v>
      </c>
      <c r="C95" s="308" t="s">
        <v>372</v>
      </c>
      <c r="D95" s="309">
        <v>37830200</v>
      </c>
      <c r="E95" s="309">
        <f t="shared" si="12"/>
        <v>3783020</v>
      </c>
      <c r="F95" s="309">
        <f t="shared" si="13"/>
        <v>41613220</v>
      </c>
      <c r="G95" s="310"/>
      <c r="H95" s="309"/>
      <c r="I95" s="311">
        <f t="shared" si="14"/>
        <v>41613220</v>
      </c>
      <c r="J95" s="310">
        <v>45900</v>
      </c>
      <c r="K95" s="316" t="s">
        <v>373</v>
      </c>
    </row>
    <row r="96" spans="1:11" ht="24.75" customHeight="1">
      <c r="A96" s="306">
        <v>45897</v>
      </c>
      <c r="B96" s="307" t="s">
        <v>374</v>
      </c>
      <c r="C96" s="308" t="s">
        <v>375</v>
      </c>
      <c r="D96" s="309">
        <v>69788300</v>
      </c>
      <c r="E96" s="309">
        <f t="shared" si="12"/>
        <v>6978830</v>
      </c>
      <c r="F96" s="309">
        <f t="shared" si="13"/>
        <v>76767130</v>
      </c>
      <c r="G96" s="310">
        <v>46387</v>
      </c>
      <c r="H96" s="309">
        <v>10000000</v>
      </c>
      <c r="I96" s="311">
        <f t="shared" si="14"/>
        <v>66767130</v>
      </c>
      <c r="J96" s="310">
        <v>45930</v>
      </c>
      <c r="K96" s="316" t="s">
        <v>376</v>
      </c>
    </row>
    <row r="97" spans="1:11" ht="24.75" customHeight="1">
      <c r="A97" s="306">
        <v>45902</v>
      </c>
      <c r="B97" s="307" t="s">
        <v>374</v>
      </c>
      <c r="C97" s="308" t="s">
        <v>375</v>
      </c>
      <c r="D97" s="309">
        <v>2331400</v>
      </c>
      <c r="E97" s="309">
        <f t="shared" si="12"/>
        <v>233140</v>
      </c>
      <c r="F97" s="309">
        <f t="shared" si="13"/>
        <v>2564540</v>
      </c>
      <c r="G97" s="310"/>
      <c r="H97" s="309"/>
      <c r="I97" s="311">
        <f t="shared" si="14"/>
        <v>2564540</v>
      </c>
      <c r="J97" s="310">
        <v>45930</v>
      </c>
      <c r="K97" s="316"/>
    </row>
    <row r="98" spans="1:11" ht="24.75" customHeight="1">
      <c r="A98" s="306">
        <v>45903</v>
      </c>
      <c r="B98" s="307" t="s">
        <v>270</v>
      </c>
      <c r="C98" s="308" t="s">
        <v>377</v>
      </c>
      <c r="D98" s="309">
        <v>2290000</v>
      </c>
      <c r="E98" s="309">
        <f t="shared" si="12"/>
        <v>229000</v>
      </c>
      <c r="F98" s="309">
        <f t="shared" si="13"/>
        <v>2519000</v>
      </c>
      <c r="G98" s="310"/>
      <c r="H98" s="309"/>
      <c r="I98" s="311">
        <f t="shared" si="14"/>
        <v>2519000</v>
      </c>
      <c r="J98" s="310">
        <v>45930</v>
      </c>
      <c r="K98" s="316"/>
    </row>
    <row r="99" spans="1:11" ht="24.75" customHeight="1">
      <c r="A99" s="306">
        <v>45916</v>
      </c>
      <c r="B99" s="307" t="s">
        <v>378</v>
      </c>
      <c r="C99" s="308" t="s">
        <v>379</v>
      </c>
      <c r="D99" s="309">
        <v>981900</v>
      </c>
      <c r="E99" s="309">
        <f t="shared" si="12"/>
        <v>98190</v>
      </c>
      <c r="F99" s="309">
        <f t="shared" si="13"/>
        <v>1080090</v>
      </c>
      <c r="G99" s="310"/>
      <c r="H99" s="309"/>
      <c r="I99" s="311">
        <f t="shared" si="14"/>
        <v>1080090</v>
      </c>
      <c r="J99" s="310">
        <v>45930</v>
      </c>
      <c r="K99" s="316"/>
    </row>
    <row r="100" spans="1:11" ht="24.75" customHeight="1">
      <c r="A100" s="306">
        <v>45945</v>
      </c>
      <c r="B100" s="317" t="s">
        <v>234</v>
      </c>
      <c r="C100" s="318" t="s">
        <v>372</v>
      </c>
      <c r="D100" s="319">
        <v>15846200</v>
      </c>
      <c r="E100" s="319">
        <f t="shared" si="12"/>
        <v>1584620</v>
      </c>
      <c r="F100" s="319">
        <f t="shared" si="13"/>
        <v>17430820</v>
      </c>
      <c r="G100" s="320"/>
      <c r="H100" s="319"/>
      <c r="I100" s="321">
        <f t="shared" si="14"/>
        <v>17430820</v>
      </c>
      <c r="J100" s="310">
        <v>45961</v>
      </c>
      <c r="K100" s="316"/>
    </row>
    <row r="101" spans="1:11" ht="24.75" customHeight="1">
      <c r="A101" s="306">
        <v>45946</v>
      </c>
      <c r="B101" s="307" t="s">
        <v>380</v>
      </c>
      <c r="C101" s="308" t="s">
        <v>381</v>
      </c>
      <c r="D101" s="309">
        <v>6761500</v>
      </c>
      <c r="E101" s="309">
        <f t="shared" si="12"/>
        <v>676150</v>
      </c>
      <c r="F101" s="309">
        <f t="shared" si="13"/>
        <v>7437650</v>
      </c>
      <c r="G101" s="310"/>
      <c r="H101" s="309"/>
      <c r="I101" s="311">
        <f t="shared" si="14"/>
        <v>7437650</v>
      </c>
      <c r="J101" s="310">
        <v>45961</v>
      </c>
      <c r="K101" s="316"/>
    </row>
    <row r="102" spans="1:11" ht="24.75" customHeight="1">
      <c r="A102" s="306">
        <v>45947</v>
      </c>
      <c r="B102" s="307" t="s">
        <v>374</v>
      </c>
      <c r="C102" s="308" t="s">
        <v>375</v>
      </c>
      <c r="D102" s="309">
        <v>6300000</v>
      </c>
      <c r="E102" s="309">
        <f t="shared" si="12"/>
        <v>630000</v>
      </c>
      <c r="F102" s="309">
        <f t="shared" si="13"/>
        <v>6930000</v>
      </c>
      <c r="G102" s="310"/>
      <c r="H102" s="309"/>
      <c r="I102" s="311">
        <f t="shared" si="14"/>
        <v>6930000</v>
      </c>
      <c r="J102" s="310">
        <v>45961</v>
      </c>
      <c r="K102" s="316"/>
    </row>
    <row r="103" spans="1:11" ht="24.75" customHeight="1">
      <c r="A103" s="306">
        <v>45950</v>
      </c>
      <c r="B103" s="307" t="s">
        <v>270</v>
      </c>
      <c r="C103" s="308" t="s">
        <v>382</v>
      </c>
      <c r="D103" s="309">
        <v>8929200</v>
      </c>
      <c r="E103" s="309">
        <f t="shared" si="12"/>
        <v>892920</v>
      </c>
      <c r="F103" s="309">
        <f t="shared" si="13"/>
        <v>9822120</v>
      </c>
      <c r="G103" s="310"/>
      <c r="H103" s="309"/>
      <c r="I103" s="311">
        <f t="shared" si="14"/>
        <v>9822120</v>
      </c>
      <c r="J103" s="310">
        <v>45961</v>
      </c>
      <c r="K103" s="316"/>
    </row>
    <row r="104" spans="1:11" ht="24.75" customHeight="1">
      <c r="A104" s="306">
        <v>45952</v>
      </c>
      <c r="B104" s="307" t="s">
        <v>210</v>
      </c>
      <c r="C104" s="308" t="s">
        <v>383</v>
      </c>
      <c r="D104" s="309">
        <v>7276000</v>
      </c>
      <c r="E104" s="309">
        <f t="shared" si="12"/>
        <v>727600</v>
      </c>
      <c r="F104" s="309">
        <f t="shared" si="13"/>
        <v>8003600</v>
      </c>
      <c r="G104" s="310"/>
      <c r="H104" s="309"/>
      <c r="I104" s="311">
        <f t="shared" si="14"/>
        <v>8003600</v>
      </c>
      <c r="J104" s="310">
        <v>45991</v>
      </c>
      <c r="K104" s="316"/>
    </row>
    <row r="105" spans="1:11" ht="24.75" customHeight="1">
      <c r="A105" s="306">
        <v>45953</v>
      </c>
      <c r="B105" s="307" t="s">
        <v>270</v>
      </c>
      <c r="C105" s="308" t="s">
        <v>384</v>
      </c>
      <c r="D105" s="309">
        <v>8929200</v>
      </c>
      <c r="E105" s="309">
        <f t="shared" si="12"/>
        <v>892920</v>
      </c>
      <c r="F105" s="309">
        <f t="shared" si="13"/>
        <v>9822120</v>
      </c>
      <c r="G105" s="310"/>
      <c r="H105" s="309"/>
      <c r="I105" s="311">
        <f t="shared" si="14"/>
        <v>9822120</v>
      </c>
      <c r="J105" s="310">
        <v>45991</v>
      </c>
      <c r="K105" s="316"/>
    </row>
    <row r="106" spans="1:11" ht="24.75" customHeight="1">
      <c r="A106" s="306">
        <v>45954</v>
      </c>
      <c r="B106" s="307" t="s">
        <v>380</v>
      </c>
      <c r="C106" s="308" t="s">
        <v>381</v>
      </c>
      <c r="D106" s="309">
        <v>7700000</v>
      </c>
      <c r="E106" s="309">
        <f t="shared" si="12"/>
        <v>770000</v>
      </c>
      <c r="F106" s="309">
        <f t="shared" si="13"/>
        <v>8470000</v>
      </c>
      <c r="G106" s="310"/>
      <c r="H106" s="309"/>
      <c r="I106" s="311">
        <f t="shared" si="14"/>
        <v>8470000</v>
      </c>
      <c r="J106" s="310">
        <v>45991</v>
      </c>
      <c r="K106" s="316"/>
    </row>
    <row r="107" spans="1:11" ht="24.75" customHeight="1">
      <c r="A107" s="306">
        <v>45958</v>
      </c>
      <c r="B107" s="307" t="s">
        <v>77</v>
      </c>
      <c r="C107" s="308" t="s">
        <v>385</v>
      </c>
      <c r="D107" s="309">
        <v>7700000</v>
      </c>
      <c r="E107" s="309">
        <f t="shared" ref="E107:E138" si="15">D107*10%</f>
        <v>770000</v>
      </c>
      <c r="F107" s="309">
        <f t="shared" ref="F107:F138" si="16">SUM(D107:E107)</f>
        <v>8470000</v>
      </c>
      <c r="G107" s="310"/>
      <c r="H107" s="309"/>
      <c r="I107" s="311">
        <f t="shared" si="14"/>
        <v>8470000</v>
      </c>
      <c r="J107" s="310">
        <v>45991</v>
      </c>
      <c r="K107" s="316"/>
    </row>
    <row r="108" spans="1:11" ht="24.75" customHeight="1">
      <c r="A108" s="306">
        <v>45958</v>
      </c>
      <c r="B108" s="317" t="s">
        <v>374</v>
      </c>
      <c r="C108" s="318" t="s">
        <v>386</v>
      </c>
      <c r="D108" s="319">
        <v>-9744900</v>
      </c>
      <c r="E108" s="319">
        <f t="shared" si="15"/>
        <v>-974490</v>
      </c>
      <c r="F108" s="319">
        <f t="shared" si="16"/>
        <v>-10719390</v>
      </c>
      <c r="G108" s="320"/>
      <c r="H108" s="319"/>
      <c r="I108" s="321">
        <f t="shared" si="14"/>
        <v>-10719390</v>
      </c>
      <c r="J108" s="310"/>
      <c r="K108" s="316"/>
    </row>
    <row r="109" spans="1:11" ht="24.75" customHeight="1">
      <c r="A109" s="306">
        <v>45961</v>
      </c>
      <c r="B109" s="307" t="s">
        <v>270</v>
      </c>
      <c r="C109" s="308" t="s">
        <v>384</v>
      </c>
      <c r="D109" s="309">
        <v>4530000</v>
      </c>
      <c r="E109" s="309">
        <f t="shared" si="15"/>
        <v>453000</v>
      </c>
      <c r="F109" s="309">
        <f t="shared" si="16"/>
        <v>4983000</v>
      </c>
      <c r="G109" s="310"/>
      <c r="H109" s="309"/>
      <c r="I109" s="311">
        <f t="shared" si="14"/>
        <v>4983000</v>
      </c>
      <c r="J109" s="310">
        <v>45991</v>
      </c>
      <c r="K109" s="316"/>
    </row>
    <row r="110" spans="1:11" ht="24.75" customHeight="1">
      <c r="A110" s="306">
        <v>45964</v>
      </c>
      <c r="B110" s="307" t="s">
        <v>270</v>
      </c>
      <c r="C110" s="308" t="s">
        <v>384</v>
      </c>
      <c r="D110" s="309">
        <v>4530000</v>
      </c>
      <c r="E110" s="309">
        <f t="shared" si="15"/>
        <v>453000</v>
      </c>
      <c r="F110" s="309">
        <f t="shared" si="16"/>
        <v>4983000</v>
      </c>
      <c r="G110" s="310"/>
      <c r="H110" s="309"/>
      <c r="I110" s="311">
        <f t="shared" si="14"/>
        <v>4983000</v>
      </c>
      <c r="J110" s="310">
        <v>45991</v>
      </c>
      <c r="K110" s="316"/>
    </row>
    <row r="111" spans="1:11" ht="24.75" customHeight="1">
      <c r="A111" s="306">
        <v>45964</v>
      </c>
      <c r="B111" s="307" t="s">
        <v>380</v>
      </c>
      <c r="C111" s="308" t="s">
        <v>381</v>
      </c>
      <c r="D111" s="309">
        <v>3380000</v>
      </c>
      <c r="E111" s="309">
        <f t="shared" si="15"/>
        <v>338000</v>
      </c>
      <c r="F111" s="309">
        <f t="shared" si="16"/>
        <v>3718000</v>
      </c>
      <c r="G111" s="310"/>
      <c r="H111" s="309"/>
      <c r="I111" s="311">
        <f t="shared" si="14"/>
        <v>3718000</v>
      </c>
      <c r="J111" s="310">
        <v>45991</v>
      </c>
      <c r="K111" s="316"/>
    </row>
    <row r="112" spans="1:11" ht="24.75" customHeight="1">
      <c r="A112" s="306">
        <v>45965</v>
      </c>
      <c r="B112" s="307" t="s">
        <v>387</v>
      </c>
      <c r="C112" s="308" t="s">
        <v>388</v>
      </c>
      <c r="D112" s="309">
        <v>330100</v>
      </c>
      <c r="E112" s="309">
        <f t="shared" si="15"/>
        <v>33010</v>
      </c>
      <c r="F112" s="309">
        <f t="shared" si="16"/>
        <v>363110</v>
      </c>
      <c r="G112" s="310"/>
      <c r="H112" s="309"/>
      <c r="I112" s="311">
        <f t="shared" si="14"/>
        <v>363110</v>
      </c>
      <c r="J112" s="310">
        <v>45991</v>
      </c>
      <c r="K112" s="316"/>
    </row>
    <row r="113" spans="1:11" ht="24.75" customHeight="1">
      <c r="A113" s="306">
        <v>45965</v>
      </c>
      <c r="B113" s="307" t="s">
        <v>72</v>
      </c>
      <c r="C113" s="308" t="s">
        <v>389</v>
      </c>
      <c r="D113" s="309">
        <v>6168000</v>
      </c>
      <c r="E113" s="309">
        <f t="shared" si="15"/>
        <v>616800</v>
      </c>
      <c r="F113" s="309">
        <f t="shared" si="16"/>
        <v>6784800</v>
      </c>
      <c r="G113" s="310"/>
      <c r="H113" s="309"/>
      <c r="I113" s="311">
        <f t="shared" ref="I113:I144" si="17">SUM(F113)-SUM(H113)</f>
        <v>6784800</v>
      </c>
      <c r="J113" s="310">
        <v>45991</v>
      </c>
      <c r="K113" s="316"/>
    </row>
    <row r="114" spans="1:11" ht="24.75" customHeight="1">
      <c r="A114" s="306">
        <v>45966</v>
      </c>
      <c r="B114" s="307" t="s">
        <v>390</v>
      </c>
      <c r="C114" s="308" t="s">
        <v>391</v>
      </c>
      <c r="D114" s="309">
        <v>28755000</v>
      </c>
      <c r="E114" s="309">
        <f t="shared" si="15"/>
        <v>2875500</v>
      </c>
      <c r="F114" s="309">
        <f t="shared" si="16"/>
        <v>31630500</v>
      </c>
      <c r="G114" s="310"/>
      <c r="H114" s="309"/>
      <c r="I114" s="311">
        <f t="shared" si="17"/>
        <v>31630500</v>
      </c>
      <c r="J114" s="310">
        <v>45991</v>
      </c>
      <c r="K114" s="316"/>
    </row>
    <row r="115" spans="1:11" ht="24.75" customHeight="1">
      <c r="A115" s="306">
        <v>45967</v>
      </c>
      <c r="B115" s="307" t="s">
        <v>380</v>
      </c>
      <c r="C115" s="308" t="s">
        <v>381</v>
      </c>
      <c r="D115" s="309">
        <v>1180000</v>
      </c>
      <c r="E115" s="309">
        <f t="shared" si="15"/>
        <v>118000</v>
      </c>
      <c r="F115" s="309">
        <f t="shared" si="16"/>
        <v>1298000</v>
      </c>
      <c r="G115" s="310"/>
      <c r="H115" s="309"/>
      <c r="I115" s="311">
        <f t="shared" si="17"/>
        <v>1298000</v>
      </c>
      <c r="J115" s="310">
        <v>45991</v>
      </c>
      <c r="K115" s="316"/>
    </row>
    <row r="116" spans="1:11" ht="24.75" customHeight="1">
      <c r="A116" s="306">
        <v>45967</v>
      </c>
      <c r="B116" s="307" t="s">
        <v>270</v>
      </c>
      <c r="C116" s="308" t="s">
        <v>384</v>
      </c>
      <c r="D116" s="309">
        <v>2880000</v>
      </c>
      <c r="E116" s="309">
        <f t="shared" si="15"/>
        <v>288000</v>
      </c>
      <c r="F116" s="309">
        <f t="shared" si="16"/>
        <v>3168000</v>
      </c>
      <c r="G116" s="310"/>
      <c r="H116" s="309"/>
      <c r="I116" s="311">
        <f t="shared" si="17"/>
        <v>3168000</v>
      </c>
      <c r="J116" s="310">
        <v>45991</v>
      </c>
      <c r="K116" s="316"/>
    </row>
    <row r="117" spans="1:11" ht="24.75" customHeight="1">
      <c r="A117" s="306">
        <v>45967</v>
      </c>
      <c r="B117" s="307" t="s">
        <v>72</v>
      </c>
      <c r="C117" s="308" t="s">
        <v>154</v>
      </c>
      <c r="D117" s="309">
        <v>18380000</v>
      </c>
      <c r="E117" s="309">
        <f t="shared" si="15"/>
        <v>1838000</v>
      </c>
      <c r="F117" s="309">
        <f t="shared" si="16"/>
        <v>20218000</v>
      </c>
      <c r="G117" s="310"/>
      <c r="H117" s="309"/>
      <c r="I117" s="311">
        <f t="shared" si="17"/>
        <v>20218000</v>
      </c>
      <c r="J117" s="310">
        <v>45991</v>
      </c>
      <c r="K117" s="316"/>
    </row>
    <row r="118" spans="1:11" ht="24.75" customHeight="1">
      <c r="A118" s="306">
        <v>45968</v>
      </c>
      <c r="B118" s="307" t="s">
        <v>378</v>
      </c>
      <c r="C118" s="308" t="s">
        <v>392</v>
      </c>
      <c r="D118" s="309">
        <v>801700</v>
      </c>
      <c r="E118" s="309">
        <f t="shared" si="15"/>
        <v>80170</v>
      </c>
      <c r="F118" s="309">
        <f t="shared" si="16"/>
        <v>881870</v>
      </c>
      <c r="G118" s="310"/>
      <c r="H118" s="309"/>
      <c r="I118" s="311">
        <f t="shared" si="17"/>
        <v>881870</v>
      </c>
      <c r="J118" s="310">
        <v>45991</v>
      </c>
      <c r="K118" s="316"/>
    </row>
    <row r="119" spans="1:11" ht="24.75" customHeight="1">
      <c r="A119" s="306">
        <v>45971</v>
      </c>
      <c r="B119" s="307" t="s">
        <v>270</v>
      </c>
      <c r="C119" s="308" t="s">
        <v>384</v>
      </c>
      <c r="D119" s="309">
        <v>1780000</v>
      </c>
      <c r="E119" s="309">
        <f t="shared" si="15"/>
        <v>178000</v>
      </c>
      <c r="F119" s="309">
        <f t="shared" si="16"/>
        <v>1958000</v>
      </c>
      <c r="G119" s="310"/>
      <c r="H119" s="309"/>
      <c r="I119" s="311">
        <f t="shared" si="17"/>
        <v>1958000</v>
      </c>
      <c r="J119" s="310">
        <v>45991</v>
      </c>
      <c r="K119" s="316"/>
    </row>
    <row r="120" spans="1:11" ht="24.75" customHeight="1">
      <c r="A120" s="306">
        <v>45971</v>
      </c>
      <c r="B120" s="307" t="s">
        <v>393</v>
      </c>
      <c r="C120" s="308" t="s">
        <v>394</v>
      </c>
      <c r="D120" s="309">
        <v>4348000</v>
      </c>
      <c r="E120" s="309">
        <f t="shared" si="15"/>
        <v>434800</v>
      </c>
      <c r="F120" s="309">
        <f t="shared" si="16"/>
        <v>4782800</v>
      </c>
      <c r="G120" s="310"/>
      <c r="H120" s="309"/>
      <c r="I120" s="311">
        <f t="shared" si="17"/>
        <v>4782800</v>
      </c>
      <c r="J120" s="310">
        <v>45991</v>
      </c>
      <c r="K120" s="316"/>
    </row>
    <row r="121" spans="1:11" ht="24.75" customHeight="1">
      <c r="A121" s="306">
        <v>45971</v>
      </c>
      <c r="B121" s="307" t="s">
        <v>270</v>
      </c>
      <c r="C121" s="308" t="s">
        <v>384</v>
      </c>
      <c r="D121" s="309">
        <v>657500</v>
      </c>
      <c r="E121" s="309">
        <f t="shared" si="15"/>
        <v>65750</v>
      </c>
      <c r="F121" s="309">
        <f t="shared" si="16"/>
        <v>723250</v>
      </c>
      <c r="G121" s="310"/>
      <c r="H121" s="309"/>
      <c r="I121" s="311">
        <f t="shared" si="17"/>
        <v>723250</v>
      </c>
      <c r="J121" s="310">
        <v>45991</v>
      </c>
      <c r="K121" s="316"/>
    </row>
    <row r="122" spans="1:11" ht="24.75" customHeight="1">
      <c r="A122" s="306">
        <v>45971</v>
      </c>
      <c r="B122" s="317" t="s">
        <v>378</v>
      </c>
      <c r="C122" s="318" t="s">
        <v>395</v>
      </c>
      <c r="D122" s="319">
        <v>556000</v>
      </c>
      <c r="E122" s="319">
        <f t="shared" si="15"/>
        <v>55600</v>
      </c>
      <c r="F122" s="319">
        <f t="shared" si="16"/>
        <v>611600</v>
      </c>
      <c r="G122" s="320"/>
      <c r="H122" s="319"/>
      <c r="I122" s="321">
        <f t="shared" si="17"/>
        <v>611600</v>
      </c>
      <c r="J122" s="310">
        <v>45991</v>
      </c>
      <c r="K122" s="316"/>
    </row>
    <row r="123" spans="1:11" ht="24.75" customHeight="1">
      <c r="A123" s="306">
        <v>45972</v>
      </c>
      <c r="B123" s="307" t="s">
        <v>72</v>
      </c>
      <c r="C123" s="308" t="s">
        <v>389</v>
      </c>
      <c r="D123" s="309">
        <v>19000000</v>
      </c>
      <c r="E123" s="309">
        <f t="shared" si="15"/>
        <v>1900000</v>
      </c>
      <c r="F123" s="309">
        <f t="shared" si="16"/>
        <v>20900000</v>
      </c>
      <c r="G123" s="310"/>
      <c r="H123" s="309"/>
      <c r="I123" s="311">
        <f t="shared" si="17"/>
        <v>20900000</v>
      </c>
      <c r="J123" s="310">
        <v>45991</v>
      </c>
      <c r="K123" s="316"/>
    </row>
    <row r="124" spans="1:11" ht="24.75" customHeight="1">
      <c r="A124" s="306">
        <v>45972</v>
      </c>
      <c r="B124" s="317" t="s">
        <v>371</v>
      </c>
      <c r="C124" s="318" t="s">
        <v>396</v>
      </c>
      <c r="D124" s="319">
        <v>37160000</v>
      </c>
      <c r="E124" s="319">
        <f t="shared" si="15"/>
        <v>3716000</v>
      </c>
      <c r="F124" s="319">
        <f t="shared" si="16"/>
        <v>40876000</v>
      </c>
      <c r="G124" s="320"/>
      <c r="H124" s="319"/>
      <c r="I124" s="321">
        <f t="shared" si="17"/>
        <v>40876000</v>
      </c>
      <c r="J124" s="310">
        <v>45991</v>
      </c>
      <c r="K124" s="316"/>
    </row>
    <row r="125" spans="1:11" ht="24.75" customHeight="1">
      <c r="A125" s="306">
        <v>45973</v>
      </c>
      <c r="B125" s="307" t="s">
        <v>390</v>
      </c>
      <c r="C125" s="308" t="s">
        <v>391</v>
      </c>
      <c r="D125" s="309">
        <v>11319000</v>
      </c>
      <c r="E125" s="309">
        <f t="shared" si="15"/>
        <v>1131900</v>
      </c>
      <c r="F125" s="309">
        <f t="shared" si="16"/>
        <v>12450900</v>
      </c>
      <c r="G125" s="310"/>
      <c r="H125" s="309"/>
      <c r="I125" s="311">
        <f t="shared" si="17"/>
        <v>12450900</v>
      </c>
      <c r="J125" s="310">
        <v>45991</v>
      </c>
      <c r="K125" s="316"/>
    </row>
    <row r="126" spans="1:11" ht="24.75" customHeight="1">
      <c r="A126" s="306">
        <v>45973</v>
      </c>
      <c r="B126" s="317" t="s">
        <v>397</v>
      </c>
      <c r="C126" s="318" t="s">
        <v>398</v>
      </c>
      <c r="D126" s="319">
        <v>176900</v>
      </c>
      <c r="E126" s="319">
        <f t="shared" si="15"/>
        <v>17690</v>
      </c>
      <c r="F126" s="319">
        <f t="shared" si="16"/>
        <v>194590</v>
      </c>
      <c r="G126" s="320"/>
      <c r="H126" s="319"/>
      <c r="I126" s="321">
        <f t="shared" si="17"/>
        <v>194590</v>
      </c>
      <c r="J126" s="310">
        <v>45991</v>
      </c>
      <c r="K126" s="316"/>
    </row>
    <row r="127" spans="1:11" ht="24.75" customHeight="1">
      <c r="A127" s="306">
        <v>45975</v>
      </c>
      <c r="B127" s="307" t="s">
        <v>371</v>
      </c>
      <c r="C127" s="308" t="s">
        <v>396</v>
      </c>
      <c r="D127" s="309">
        <v>5189500</v>
      </c>
      <c r="E127" s="309">
        <f t="shared" si="15"/>
        <v>518950</v>
      </c>
      <c r="F127" s="309">
        <f t="shared" si="16"/>
        <v>5708450</v>
      </c>
      <c r="G127" s="310"/>
      <c r="H127" s="309"/>
      <c r="I127" s="311">
        <f t="shared" si="17"/>
        <v>5708450</v>
      </c>
      <c r="J127" s="310">
        <v>45991</v>
      </c>
      <c r="K127" s="316"/>
    </row>
    <row r="128" spans="1:11" ht="24.75" customHeight="1">
      <c r="A128" s="306">
        <v>45975</v>
      </c>
      <c r="B128" s="307" t="s">
        <v>371</v>
      </c>
      <c r="C128" s="308" t="s">
        <v>396</v>
      </c>
      <c r="D128" s="309">
        <v>22450000</v>
      </c>
      <c r="E128" s="309">
        <f t="shared" si="15"/>
        <v>2245000</v>
      </c>
      <c r="F128" s="309">
        <f t="shared" si="16"/>
        <v>24695000</v>
      </c>
      <c r="G128" s="310"/>
      <c r="H128" s="309"/>
      <c r="I128" s="311">
        <f t="shared" si="17"/>
        <v>24695000</v>
      </c>
      <c r="J128" s="310">
        <v>45991</v>
      </c>
      <c r="K128" s="316"/>
    </row>
    <row r="129" spans="1:11" ht="24.75" customHeight="1">
      <c r="A129" s="306">
        <v>45975</v>
      </c>
      <c r="B129" s="307" t="s">
        <v>399</v>
      </c>
      <c r="C129" s="308" t="s">
        <v>400</v>
      </c>
      <c r="D129" s="309">
        <v>1389300</v>
      </c>
      <c r="E129" s="309">
        <f t="shared" si="15"/>
        <v>138930</v>
      </c>
      <c r="F129" s="309">
        <f t="shared" si="16"/>
        <v>1528230</v>
      </c>
      <c r="G129" s="310"/>
      <c r="H129" s="309"/>
      <c r="I129" s="311">
        <f t="shared" si="17"/>
        <v>1528230</v>
      </c>
      <c r="J129" s="310">
        <v>45991</v>
      </c>
      <c r="K129" s="316"/>
    </row>
    <row r="130" spans="1:11" ht="24.75" customHeight="1">
      <c r="A130" s="306">
        <v>45978</v>
      </c>
      <c r="B130" s="307" t="s">
        <v>371</v>
      </c>
      <c r="C130" s="308" t="s">
        <v>396</v>
      </c>
      <c r="D130" s="309">
        <v>5750000</v>
      </c>
      <c r="E130" s="309">
        <f t="shared" si="15"/>
        <v>575000</v>
      </c>
      <c r="F130" s="309">
        <f t="shared" si="16"/>
        <v>6325000</v>
      </c>
      <c r="G130" s="310"/>
      <c r="H130" s="309"/>
      <c r="I130" s="311">
        <f t="shared" si="17"/>
        <v>6325000</v>
      </c>
      <c r="J130" s="310">
        <v>46022</v>
      </c>
      <c r="K130" s="316"/>
    </row>
    <row r="131" spans="1:11" ht="24.75" customHeight="1">
      <c r="A131" s="306">
        <v>45979</v>
      </c>
      <c r="B131" s="317" t="s">
        <v>401</v>
      </c>
      <c r="C131" s="318" t="s">
        <v>402</v>
      </c>
      <c r="D131" s="319">
        <v>1716500</v>
      </c>
      <c r="E131" s="319">
        <f t="shared" si="15"/>
        <v>171650</v>
      </c>
      <c r="F131" s="319">
        <f t="shared" si="16"/>
        <v>1888150</v>
      </c>
      <c r="G131" s="320">
        <v>45989</v>
      </c>
      <c r="H131" s="319">
        <v>188150</v>
      </c>
      <c r="I131" s="321">
        <f t="shared" si="17"/>
        <v>1700000</v>
      </c>
      <c r="J131" s="310">
        <v>46022</v>
      </c>
      <c r="K131" s="307" t="s">
        <v>403</v>
      </c>
    </row>
    <row r="132" spans="1:11" ht="24.75" customHeight="1">
      <c r="A132" s="306">
        <v>45980</v>
      </c>
      <c r="B132" s="317" t="s">
        <v>390</v>
      </c>
      <c r="C132" s="318" t="s">
        <v>391</v>
      </c>
      <c r="D132" s="319">
        <v>3025000</v>
      </c>
      <c r="E132" s="319">
        <f t="shared" si="15"/>
        <v>302500</v>
      </c>
      <c r="F132" s="319">
        <f t="shared" si="16"/>
        <v>3327500</v>
      </c>
      <c r="G132" s="320"/>
      <c r="H132" s="319"/>
      <c r="I132" s="321">
        <f t="shared" si="17"/>
        <v>3327500</v>
      </c>
      <c r="J132" s="310">
        <v>46022</v>
      </c>
      <c r="K132" s="316"/>
    </row>
    <row r="133" spans="1:11" ht="24.75" customHeight="1">
      <c r="A133" s="306">
        <v>45986</v>
      </c>
      <c r="B133" s="307" t="s">
        <v>404</v>
      </c>
      <c r="C133" s="308" t="s">
        <v>405</v>
      </c>
      <c r="D133" s="309">
        <v>4855900</v>
      </c>
      <c r="E133" s="309">
        <f t="shared" si="15"/>
        <v>485590</v>
      </c>
      <c r="F133" s="309">
        <f t="shared" si="16"/>
        <v>5341490</v>
      </c>
      <c r="G133" s="310"/>
      <c r="H133" s="309"/>
      <c r="I133" s="311">
        <f t="shared" si="17"/>
        <v>5341490</v>
      </c>
      <c r="J133" s="310">
        <v>46022</v>
      </c>
      <c r="K133" s="316"/>
    </row>
    <row r="134" spans="1:11" ht="24.75" customHeight="1">
      <c r="A134" s="306">
        <v>45987</v>
      </c>
      <c r="B134" s="307" t="s">
        <v>72</v>
      </c>
      <c r="C134" s="308" t="s">
        <v>154</v>
      </c>
      <c r="D134" s="309">
        <v>7920000</v>
      </c>
      <c r="E134" s="309">
        <f t="shared" si="15"/>
        <v>792000</v>
      </c>
      <c r="F134" s="309">
        <f t="shared" si="16"/>
        <v>8712000</v>
      </c>
      <c r="G134" s="310"/>
      <c r="H134" s="309"/>
      <c r="I134" s="311">
        <f t="shared" si="17"/>
        <v>8712000</v>
      </c>
      <c r="J134" s="310">
        <v>46022</v>
      </c>
      <c r="K134" s="316"/>
    </row>
    <row r="135" spans="1:11" ht="24.75" customHeight="1">
      <c r="A135" s="306">
        <v>45987</v>
      </c>
      <c r="B135" s="317" t="s">
        <v>406</v>
      </c>
      <c r="C135" s="318" t="s">
        <v>407</v>
      </c>
      <c r="D135" s="319">
        <v>2094000</v>
      </c>
      <c r="E135" s="319">
        <f t="shared" si="15"/>
        <v>209400</v>
      </c>
      <c r="F135" s="319">
        <f t="shared" si="16"/>
        <v>2303400</v>
      </c>
      <c r="G135" s="320"/>
      <c r="H135" s="319"/>
      <c r="I135" s="321">
        <f t="shared" si="17"/>
        <v>2303400</v>
      </c>
      <c r="J135" s="310">
        <v>46022</v>
      </c>
      <c r="K135" s="316"/>
    </row>
    <row r="136" spans="1:11" ht="24.75" customHeight="1">
      <c r="A136" s="306">
        <v>45988</v>
      </c>
      <c r="B136" s="317" t="s">
        <v>390</v>
      </c>
      <c r="C136" s="318" t="s">
        <v>391</v>
      </c>
      <c r="D136" s="319">
        <v>5115000</v>
      </c>
      <c r="E136" s="319">
        <f t="shared" si="15"/>
        <v>511500</v>
      </c>
      <c r="F136" s="319">
        <f t="shared" si="16"/>
        <v>5626500</v>
      </c>
      <c r="G136" s="320"/>
      <c r="H136" s="319"/>
      <c r="I136" s="321">
        <f t="shared" si="17"/>
        <v>5626500</v>
      </c>
      <c r="J136" s="310">
        <v>46022</v>
      </c>
      <c r="K136" s="316"/>
    </row>
    <row r="137" spans="1:11" ht="24.75" customHeight="1">
      <c r="A137" s="306">
        <v>45989</v>
      </c>
      <c r="B137" s="307" t="s">
        <v>371</v>
      </c>
      <c r="C137" s="308" t="s">
        <v>408</v>
      </c>
      <c r="D137" s="309">
        <v>37328000</v>
      </c>
      <c r="E137" s="309">
        <f t="shared" si="15"/>
        <v>3732800</v>
      </c>
      <c r="F137" s="309">
        <f t="shared" si="16"/>
        <v>41060800</v>
      </c>
      <c r="G137" s="310"/>
      <c r="H137" s="309"/>
      <c r="I137" s="311">
        <f t="shared" si="17"/>
        <v>41060800</v>
      </c>
      <c r="J137" s="310">
        <v>46022</v>
      </c>
      <c r="K137" s="316"/>
    </row>
    <row r="138" spans="1:11" ht="24.75" customHeight="1">
      <c r="A138" s="306">
        <v>45992</v>
      </c>
      <c r="B138" s="307" t="s">
        <v>258</v>
      </c>
      <c r="C138" s="308" t="s">
        <v>409</v>
      </c>
      <c r="D138" s="309">
        <v>1350000</v>
      </c>
      <c r="E138" s="309">
        <f t="shared" si="15"/>
        <v>135000</v>
      </c>
      <c r="F138" s="309">
        <f t="shared" si="16"/>
        <v>1485000</v>
      </c>
      <c r="G138" s="310"/>
      <c r="H138" s="309"/>
      <c r="I138" s="311">
        <f t="shared" si="17"/>
        <v>1485000</v>
      </c>
      <c r="J138" s="310">
        <v>46022</v>
      </c>
      <c r="K138" s="316"/>
    </row>
    <row r="139" spans="1:11" ht="24.75" customHeight="1">
      <c r="A139" s="313">
        <v>45993</v>
      </c>
      <c r="B139" s="307" t="s">
        <v>72</v>
      </c>
      <c r="C139" s="308" t="s">
        <v>410</v>
      </c>
      <c r="D139" s="309">
        <v>7920000</v>
      </c>
      <c r="E139" s="309">
        <f t="shared" ref="E139:E160" si="18">D139*10%</f>
        <v>792000</v>
      </c>
      <c r="F139" s="309">
        <f t="shared" ref="F139:F160" si="19">SUM(D139:E139)</f>
        <v>8712000</v>
      </c>
      <c r="G139" s="310"/>
      <c r="H139" s="309"/>
      <c r="I139" s="311">
        <f t="shared" si="17"/>
        <v>8712000</v>
      </c>
      <c r="J139" s="310">
        <v>46022</v>
      </c>
      <c r="K139" s="316"/>
    </row>
    <row r="140" spans="1:11" ht="24.75" customHeight="1">
      <c r="A140" s="313">
        <v>45993</v>
      </c>
      <c r="B140" s="317" t="s">
        <v>404</v>
      </c>
      <c r="C140" s="318" t="s">
        <v>411</v>
      </c>
      <c r="D140" s="319">
        <v>31000</v>
      </c>
      <c r="E140" s="319">
        <f t="shared" si="18"/>
        <v>3100</v>
      </c>
      <c r="F140" s="319">
        <f t="shared" si="19"/>
        <v>34100</v>
      </c>
      <c r="G140" s="320"/>
      <c r="H140" s="319"/>
      <c r="I140" s="321">
        <f t="shared" si="17"/>
        <v>34100</v>
      </c>
      <c r="J140" s="310">
        <v>46022</v>
      </c>
      <c r="K140" s="316"/>
    </row>
    <row r="141" spans="1:11" ht="24.75" customHeight="1">
      <c r="A141" s="313">
        <v>45994</v>
      </c>
      <c r="B141" s="317" t="s">
        <v>371</v>
      </c>
      <c r="C141" s="318" t="s">
        <v>408</v>
      </c>
      <c r="D141" s="319">
        <v>5200000</v>
      </c>
      <c r="E141" s="319">
        <f t="shared" si="18"/>
        <v>520000</v>
      </c>
      <c r="F141" s="319">
        <f t="shared" si="19"/>
        <v>5720000</v>
      </c>
      <c r="G141" s="320"/>
      <c r="H141" s="319"/>
      <c r="I141" s="321">
        <f t="shared" si="17"/>
        <v>5720000</v>
      </c>
      <c r="J141" s="310">
        <v>46022</v>
      </c>
      <c r="K141" s="316"/>
    </row>
    <row r="142" spans="1:11" ht="24.75" customHeight="1">
      <c r="A142" s="313">
        <v>45995</v>
      </c>
      <c r="B142" s="317" t="s">
        <v>371</v>
      </c>
      <c r="C142" s="318" t="s">
        <v>408</v>
      </c>
      <c r="D142" s="319">
        <v>5500000</v>
      </c>
      <c r="E142" s="319">
        <f t="shared" si="18"/>
        <v>550000</v>
      </c>
      <c r="F142" s="319">
        <f t="shared" si="19"/>
        <v>6050000</v>
      </c>
      <c r="G142" s="320"/>
      <c r="H142" s="319"/>
      <c r="I142" s="321">
        <f t="shared" si="17"/>
        <v>6050000</v>
      </c>
      <c r="J142" s="310">
        <v>46022</v>
      </c>
      <c r="K142" s="316"/>
    </row>
    <row r="143" spans="1:11" ht="24.75" customHeight="1">
      <c r="A143" s="306">
        <v>45996</v>
      </c>
      <c r="B143" s="307" t="s">
        <v>371</v>
      </c>
      <c r="C143" s="308" t="s">
        <v>408</v>
      </c>
      <c r="D143" s="309">
        <v>1548000</v>
      </c>
      <c r="E143" s="309">
        <f t="shared" si="18"/>
        <v>154800</v>
      </c>
      <c r="F143" s="309">
        <f t="shared" si="19"/>
        <v>1702800</v>
      </c>
      <c r="G143" s="310"/>
      <c r="H143" s="309"/>
      <c r="I143" s="311">
        <f t="shared" si="17"/>
        <v>1702800</v>
      </c>
      <c r="J143" s="310">
        <v>46022</v>
      </c>
      <c r="K143" s="316"/>
    </row>
    <row r="144" spans="1:11" ht="24.75" customHeight="1">
      <c r="A144" s="306">
        <v>45996</v>
      </c>
      <c r="B144" s="317" t="s">
        <v>371</v>
      </c>
      <c r="C144" s="318" t="s">
        <v>408</v>
      </c>
      <c r="D144" s="319">
        <v>5750000</v>
      </c>
      <c r="E144" s="319">
        <f t="shared" si="18"/>
        <v>575000</v>
      </c>
      <c r="F144" s="319">
        <f t="shared" si="19"/>
        <v>6325000</v>
      </c>
      <c r="G144" s="320"/>
      <c r="H144" s="319"/>
      <c r="I144" s="321">
        <f t="shared" si="17"/>
        <v>6325000</v>
      </c>
      <c r="J144" s="310">
        <v>46022</v>
      </c>
      <c r="K144" s="316"/>
    </row>
    <row r="145" spans="1:11" ht="24.75" customHeight="1">
      <c r="A145" s="306">
        <v>45999</v>
      </c>
      <c r="B145" s="307" t="s">
        <v>412</v>
      </c>
      <c r="C145" s="308" t="s">
        <v>413</v>
      </c>
      <c r="D145" s="309">
        <v>5253000</v>
      </c>
      <c r="E145" s="309">
        <f t="shared" si="18"/>
        <v>525300</v>
      </c>
      <c r="F145" s="309">
        <f t="shared" si="19"/>
        <v>5778300</v>
      </c>
      <c r="G145" s="310"/>
      <c r="H145" s="309"/>
      <c r="I145" s="311">
        <f t="shared" ref="I145:I160" si="20">SUM(F145)-SUM(H145)</f>
        <v>5778300</v>
      </c>
      <c r="J145" s="310">
        <v>46053</v>
      </c>
      <c r="K145" s="316"/>
    </row>
    <row r="146" spans="1:11" ht="24.75" customHeight="1">
      <c r="A146" s="306">
        <v>46002</v>
      </c>
      <c r="B146" s="307" t="s">
        <v>404</v>
      </c>
      <c r="C146" s="308" t="s">
        <v>414</v>
      </c>
      <c r="D146" s="309">
        <v>-145000</v>
      </c>
      <c r="E146" s="309">
        <f t="shared" si="18"/>
        <v>-14500</v>
      </c>
      <c r="F146" s="309">
        <f t="shared" si="19"/>
        <v>-159500</v>
      </c>
      <c r="G146" s="310"/>
      <c r="H146" s="309"/>
      <c r="I146" s="311">
        <f t="shared" si="20"/>
        <v>-159500</v>
      </c>
      <c r="J146" s="310"/>
      <c r="K146" s="316"/>
    </row>
    <row r="147" spans="1:11" ht="24.75" customHeight="1">
      <c r="A147" s="306">
        <v>46002</v>
      </c>
      <c r="B147" s="317" t="s">
        <v>390</v>
      </c>
      <c r="C147" s="318" t="s">
        <v>415</v>
      </c>
      <c r="D147" s="319">
        <v>-11081000</v>
      </c>
      <c r="E147" s="319">
        <f t="shared" si="18"/>
        <v>-1108100</v>
      </c>
      <c r="F147" s="319">
        <f t="shared" si="19"/>
        <v>-12189100</v>
      </c>
      <c r="G147" s="320"/>
      <c r="H147" s="319"/>
      <c r="I147" s="321">
        <f t="shared" si="20"/>
        <v>-12189100</v>
      </c>
      <c r="J147" s="310"/>
      <c r="K147" s="316"/>
    </row>
    <row r="148" spans="1:11" ht="24.75" customHeight="1">
      <c r="A148" s="306">
        <v>46006</v>
      </c>
      <c r="B148" s="307" t="s">
        <v>371</v>
      </c>
      <c r="C148" s="308" t="s">
        <v>416</v>
      </c>
      <c r="D148" s="309">
        <v>187000</v>
      </c>
      <c r="E148" s="309">
        <f t="shared" si="18"/>
        <v>18700</v>
      </c>
      <c r="F148" s="309">
        <f t="shared" si="19"/>
        <v>205700</v>
      </c>
      <c r="G148" s="310"/>
      <c r="H148" s="309"/>
      <c r="I148" s="311">
        <f t="shared" si="20"/>
        <v>205700</v>
      </c>
      <c r="J148" s="310">
        <v>46053</v>
      </c>
      <c r="K148" s="316"/>
    </row>
    <row r="149" spans="1:11" ht="24.75" customHeight="1">
      <c r="A149" s="306">
        <v>46006</v>
      </c>
      <c r="B149" s="307" t="s">
        <v>417</v>
      </c>
      <c r="C149" s="308" t="s">
        <v>418</v>
      </c>
      <c r="D149" s="309">
        <v>281300</v>
      </c>
      <c r="E149" s="309">
        <f t="shared" si="18"/>
        <v>28130</v>
      </c>
      <c r="F149" s="309">
        <f t="shared" si="19"/>
        <v>309430</v>
      </c>
      <c r="G149" s="310"/>
      <c r="H149" s="309"/>
      <c r="I149" s="311">
        <f t="shared" si="20"/>
        <v>309430</v>
      </c>
      <c r="J149" s="310">
        <v>46053</v>
      </c>
      <c r="K149" s="316"/>
    </row>
    <row r="150" spans="1:11" ht="24.75" customHeight="1">
      <c r="A150" s="306">
        <v>46006</v>
      </c>
      <c r="B150" s="307" t="s">
        <v>412</v>
      </c>
      <c r="C150" s="308" t="s">
        <v>413</v>
      </c>
      <c r="D150" s="309">
        <v>1120000</v>
      </c>
      <c r="E150" s="309">
        <f t="shared" si="18"/>
        <v>112000</v>
      </c>
      <c r="F150" s="309">
        <f t="shared" si="19"/>
        <v>1232000</v>
      </c>
      <c r="G150" s="310"/>
      <c r="H150" s="309"/>
      <c r="I150" s="311">
        <f t="shared" si="20"/>
        <v>1232000</v>
      </c>
      <c r="J150" s="310">
        <v>46053</v>
      </c>
      <c r="K150" s="316"/>
    </row>
    <row r="151" spans="1:11" ht="24.75" customHeight="1">
      <c r="A151" s="306">
        <v>46006</v>
      </c>
      <c r="B151" s="307" t="s">
        <v>419</v>
      </c>
      <c r="C151" s="308" t="s">
        <v>420</v>
      </c>
      <c r="D151" s="309">
        <v>377800</v>
      </c>
      <c r="E151" s="309">
        <f t="shared" si="18"/>
        <v>37780</v>
      </c>
      <c r="F151" s="309">
        <f t="shared" si="19"/>
        <v>415580</v>
      </c>
      <c r="G151" s="310"/>
      <c r="H151" s="309"/>
      <c r="I151" s="311">
        <f t="shared" si="20"/>
        <v>415580</v>
      </c>
      <c r="J151" s="310">
        <v>46053</v>
      </c>
      <c r="K151" s="316"/>
    </row>
    <row r="152" spans="1:11" ht="24.75" customHeight="1">
      <c r="A152" s="306">
        <v>46006</v>
      </c>
      <c r="B152" s="317" t="s">
        <v>419</v>
      </c>
      <c r="C152" s="318" t="s">
        <v>420</v>
      </c>
      <c r="D152" s="319">
        <v>243000</v>
      </c>
      <c r="E152" s="319">
        <f t="shared" si="18"/>
        <v>24300</v>
      </c>
      <c r="F152" s="319">
        <f t="shared" si="19"/>
        <v>267300</v>
      </c>
      <c r="G152" s="320"/>
      <c r="H152" s="319"/>
      <c r="I152" s="321">
        <f t="shared" si="20"/>
        <v>267300</v>
      </c>
      <c r="J152" s="310">
        <v>46053</v>
      </c>
      <c r="K152" s="316"/>
    </row>
    <row r="153" spans="1:11" ht="24.75" customHeight="1">
      <c r="A153" s="306">
        <v>46007</v>
      </c>
      <c r="B153" s="317" t="s">
        <v>72</v>
      </c>
      <c r="C153" s="318" t="s">
        <v>421</v>
      </c>
      <c r="D153" s="319">
        <v>1969400</v>
      </c>
      <c r="E153" s="319">
        <f t="shared" si="18"/>
        <v>196940</v>
      </c>
      <c r="F153" s="319">
        <f t="shared" si="19"/>
        <v>2166340</v>
      </c>
      <c r="G153" s="320"/>
      <c r="H153" s="319"/>
      <c r="I153" s="321">
        <f t="shared" si="20"/>
        <v>2166340</v>
      </c>
      <c r="J153" s="310">
        <v>46053</v>
      </c>
      <c r="K153" s="316"/>
    </row>
    <row r="154" spans="1:11" ht="24.75" customHeight="1">
      <c r="A154" s="306">
        <v>46008</v>
      </c>
      <c r="B154" s="307" t="s">
        <v>371</v>
      </c>
      <c r="C154" s="308" t="s">
        <v>408</v>
      </c>
      <c r="D154" s="309">
        <v>54744000</v>
      </c>
      <c r="E154" s="309">
        <f t="shared" si="18"/>
        <v>5474400</v>
      </c>
      <c r="F154" s="309">
        <f t="shared" si="19"/>
        <v>60218400</v>
      </c>
      <c r="G154" s="310"/>
      <c r="H154" s="309"/>
      <c r="I154" s="311">
        <f t="shared" si="20"/>
        <v>60218400</v>
      </c>
      <c r="J154" s="310">
        <v>46053</v>
      </c>
      <c r="K154" s="316"/>
    </row>
    <row r="155" spans="1:11" ht="24.75" customHeight="1">
      <c r="A155" s="306">
        <v>46008</v>
      </c>
      <c r="B155" s="317" t="s">
        <v>422</v>
      </c>
      <c r="C155" s="318" t="s">
        <v>423</v>
      </c>
      <c r="D155" s="319">
        <v>321000</v>
      </c>
      <c r="E155" s="319">
        <f t="shared" si="18"/>
        <v>32100</v>
      </c>
      <c r="F155" s="319">
        <f t="shared" si="19"/>
        <v>353100</v>
      </c>
      <c r="G155" s="320"/>
      <c r="H155" s="319"/>
      <c r="I155" s="321">
        <f t="shared" si="20"/>
        <v>353100</v>
      </c>
      <c r="J155" s="310">
        <v>46053</v>
      </c>
      <c r="K155" s="316"/>
    </row>
    <row r="156" spans="1:11" ht="24.75" customHeight="1">
      <c r="A156" s="313">
        <v>46013</v>
      </c>
      <c r="B156" s="317" t="s">
        <v>72</v>
      </c>
      <c r="C156" s="318" t="s">
        <v>410</v>
      </c>
      <c r="D156" s="319">
        <v>15840000</v>
      </c>
      <c r="E156" s="319">
        <f t="shared" si="18"/>
        <v>1584000</v>
      </c>
      <c r="F156" s="319">
        <f t="shared" si="19"/>
        <v>17424000</v>
      </c>
      <c r="G156" s="320"/>
      <c r="H156" s="319"/>
      <c r="I156" s="321">
        <f t="shared" si="20"/>
        <v>17424000</v>
      </c>
      <c r="J156" s="310">
        <v>46053</v>
      </c>
      <c r="K156" s="316"/>
    </row>
    <row r="157" spans="1:11" ht="24.75" customHeight="1">
      <c r="A157" s="306">
        <v>46014</v>
      </c>
      <c r="B157" s="307" t="s">
        <v>417</v>
      </c>
      <c r="C157" s="308" t="s">
        <v>418</v>
      </c>
      <c r="D157" s="309">
        <v>70600</v>
      </c>
      <c r="E157" s="309">
        <f t="shared" si="18"/>
        <v>7060</v>
      </c>
      <c r="F157" s="309">
        <f t="shared" si="19"/>
        <v>77660</v>
      </c>
      <c r="G157" s="310"/>
      <c r="H157" s="309"/>
      <c r="I157" s="311">
        <f t="shared" si="20"/>
        <v>77660</v>
      </c>
      <c r="J157" s="310">
        <v>46053</v>
      </c>
      <c r="K157" s="316"/>
    </row>
    <row r="158" spans="1:11" ht="24.75" customHeight="1">
      <c r="A158" s="306">
        <v>46014</v>
      </c>
      <c r="B158" s="317" t="s">
        <v>371</v>
      </c>
      <c r="C158" s="318" t="s">
        <v>408</v>
      </c>
      <c r="D158" s="319">
        <v>1560000</v>
      </c>
      <c r="E158" s="319">
        <f t="shared" si="18"/>
        <v>156000</v>
      </c>
      <c r="F158" s="319">
        <f t="shared" si="19"/>
        <v>1716000</v>
      </c>
      <c r="G158" s="320"/>
      <c r="H158" s="319"/>
      <c r="I158" s="321">
        <f t="shared" si="20"/>
        <v>1716000</v>
      </c>
      <c r="J158" s="310">
        <v>46053</v>
      </c>
      <c r="K158" s="316"/>
    </row>
    <row r="159" spans="1:11" ht="24.75" customHeight="1">
      <c r="A159" s="306">
        <v>46017</v>
      </c>
      <c r="B159" s="307" t="s">
        <v>424</v>
      </c>
      <c r="C159" s="308" t="s">
        <v>425</v>
      </c>
      <c r="D159" s="309">
        <v>1360000</v>
      </c>
      <c r="E159" s="309">
        <f t="shared" si="18"/>
        <v>136000</v>
      </c>
      <c r="F159" s="309">
        <f t="shared" si="19"/>
        <v>1496000</v>
      </c>
      <c r="G159" s="310"/>
      <c r="H159" s="309"/>
      <c r="I159" s="311">
        <f t="shared" si="20"/>
        <v>1496000</v>
      </c>
      <c r="J159" s="310">
        <v>46053</v>
      </c>
      <c r="K159" s="316"/>
    </row>
    <row r="160" spans="1:11" ht="24.75" customHeight="1">
      <c r="A160" s="313">
        <v>46020</v>
      </c>
      <c r="B160" s="317" t="s">
        <v>237</v>
      </c>
      <c r="C160" s="318" t="s">
        <v>426</v>
      </c>
      <c r="D160" s="319">
        <v>1475600</v>
      </c>
      <c r="E160" s="319">
        <f t="shared" si="18"/>
        <v>147560</v>
      </c>
      <c r="F160" s="319">
        <f t="shared" si="19"/>
        <v>1623160</v>
      </c>
      <c r="G160" s="320">
        <v>46029</v>
      </c>
      <c r="H160" s="319">
        <f>표5_3[[#This Row],[합 계]]</f>
        <v>1623160</v>
      </c>
      <c r="I160" s="321">
        <f t="shared" si="20"/>
        <v>0</v>
      </c>
      <c r="J160" s="310">
        <v>46053</v>
      </c>
      <c r="K160" s="316"/>
    </row>
    <row r="161" spans="1:11" ht="24.75" customHeight="1">
      <c r="A161" s="313">
        <v>46022</v>
      </c>
      <c r="B161" s="317" t="s">
        <v>440</v>
      </c>
      <c r="C161" s="318" t="s">
        <v>143</v>
      </c>
      <c r="D161" s="319">
        <v>475300</v>
      </c>
      <c r="E161" s="319">
        <f t="shared" ref="E161" si="21">D161*10%</f>
        <v>47530</v>
      </c>
      <c r="F161" s="319">
        <f t="shared" ref="F161" si="22">SUM(D161:E161)</f>
        <v>522830</v>
      </c>
      <c r="G161" s="320"/>
      <c r="H161" s="319"/>
      <c r="I161" s="321">
        <f t="shared" ref="I161" si="23">SUM(F161)-SUM(H161)</f>
        <v>522830</v>
      </c>
      <c r="J161" s="310">
        <v>46053</v>
      </c>
      <c r="K161" s="316"/>
    </row>
  </sheetData>
  <mergeCells count="83">
    <mergeCell ref="Y69:Y70"/>
    <mergeCell ref="U68:U70"/>
    <mergeCell ref="V68:V70"/>
    <mergeCell ref="W68:W70"/>
    <mergeCell ref="F69:F70"/>
    <mergeCell ref="G69:H70"/>
    <mergeCell ref="I69:J70"/>
    <mergeCell ref="P68:P70"/>
    <mergeCell ref="Q68:Q70"/>
    <mergeCell ref="R68:R70"/>
    <mergeCell ref="S68:S70"/>
    <mergeCell ref="T68:T70"/>
    <mergeCell ref="G68:H68"/>
    <mergeCell ref="I68:J68"/>
    <mergeCell ref="K68:K70"/>
    <mergeCell ref="L68:M70"/>
    <mergeCell ref="N68:O70"/>
    <mergeCell ref="A68:A70"/>
    <mergeCell ref="B68:B70"/>
    <mergeCell ref="C68:C70"/>
    <mergeCell ref="D68:D70"/>
    <mergeCell ref="E68:E70"/>
    <mergeCell ref="W66:AB66"/>
    <mergeCell ref="G67:H67"/>
    <mergeCell ref="I67:J67"/>
    <mergeCell ref="L67:M67"/>
    <mergeCell ref="N67:O67"/>
    <mergeCell ref="R61:V61"/>
    <mergeCell ref="R62:V62"/>
    <mergeCell ref="R63:V63"/>
    <mergeCell ref="A66:F66"/>
    <mergeCell ref="G66:K66"/>
    <mergeCell ref="L66:V66"/>
    <mergeCell ref="R56:V56"/>
    <mergeCell ref="R57:V57"/>
    <mergeCell ref="R58:V58"/>
    <mergeCell ref="R59:V59"/>
    <mergeCell ref="R60:V60"/>
    <mergeCell ref="R51:V51"/>
    <mergeCell ref="R52:V52"/>
    <mergeCell ref="R53:V53"/>
    <mergeCell ref="R54:V54"/>
    <mergeCell ref="R55:V55"/>
    <mergeCell ref="R46:V46"/>
    <mergeCell ref="R47:V47"/>
    <mergeCell ref="R48:V48"/>
    <mergeCell ref="R49:V49"/>
    <mergeCell ref="R50:V50"/>
    <mergeCell ref="R41:V41"/>
    <mergeCell ref="R42:V42"/>
    <mergeCell ref="R43:V43"/>
    <mergeCell ref="R44:V44"/>
    <mergeCell ref="R45:V45"/>
    <mergeCell ref="R36:V36"/>
    <mergeCell ref="R37:V37"/>
    <mergeCell ref="R38:V38"/>
    <mergeCell ref="R39:V39"/>
    <mergeCell ref="R40:V40"/>
    <mergeCell ref="R31:V31"/>
    <mergeCell ref="R32:V32"/>
    <mergeCell ref="R33:V33"/>
    <mergeCell ref="R34:V34"/>
    <mergeCell ref="R35:V35"/>
    <mergeCell ref="R26:V26"/>
    <mergeCell ref="R27:V27"/>
    <mergeCell ref="R28:V28"/>
    <mergeCell ref="R29:V29"/>
    <mergeCell ref="R30:V30"/>
    <mergeCell ref="A24:E24"/>
    <mergeCell ref="F24:J24"/>
    <mergeCell ref="K24:O24"/>
    <mergeCell ref="P24:Q24"/>
    <mergeCell ref="R24:V25"/>
    <mergeCell ref="AJ3:AM3"/>
    <mergeCell ref="AN3:AQ3"/>
    <mergeCell ref="AR3:AR4"/>
    <mergeCell ref="AW3:AY3"/>
    <mergeCell ref="AZ3:BB3"/>
    <mergeCell ref="A3:F3"/>
    <mergeCell ref="G3:K3"/>
    <mergeCell ref="L3:P3"/>
    <mergeCell ref="Q3:U3"/>
    <mergeCell ref="W3:AD3"/>
  </mergeCells>
  <phoneticPr fontId="47" type="noConversion"/>
  <conditionalFormatting sqref="B26:D46">
    <cfRule type="expression" dxfId="17" priority="13">
      <formula>$J26&gt;0</formula>
    </cfRule>
    <cfRule type="expression" dxfId="16" priority="14">
      <formula>$O26&gt;0</formula>
    </cfRule>
  </conditionalFormatting>
  <conditionalFormatting sqref="B63:D63">
    <cfRule type="expression" dxfId="15" priority="5">
      <formula>$J63&gt;0</formula>
    </cfRule>
    <cfRule type="expression" dxfId="14" priority="6">
      <formula>$O63&gt;0</formula>
    </cfRule>
  </conditionalFormatting>
  <conditionalFormatting sqref="B68:F68 F69">
    <cfRule type="expression" dxfId="13" priority="17">
      <formula>#REF!&gt;0</formula>
    </cfRule>
    <cfRule type="expression" dxfId="12" priority="18">
      <formula>$AC68&gt;0</formula>
    </cfRule>
  </conditionalFormatting>
  <conditionalFormatting sqref="G75:H161">
    <cfRule type="cellIs" dxfId="11" priority="3" operator="greaterThan">
      <formula>0</formula>
    </cfRule>
  </conditionalFormatting>
  <conditionalFormatting sqref="J26:J28 O26:O28">
    <cfRule type="cellIs" dxfId="10" priority="16" operator="greaterThan">
      <formula>0</formula>
    </cfRule>
  </conditionalFormatting>
  <conditionalFormatting sqref="J29 O29">
    <cfRule type="cellIs" dxfId="9" priority="15" operator="greaterThan">
      <formula>0</formula>
    </cfRule>
  </conditionalFormatting>
  <conditionalFormatting sqref="J30:J62 O30:O62">
    <cfRule type="cellIs" dxfId="8" priority="12" operator="greaterThan">
      <formula>0</formula>
    </cfRule>
  </conditionalFormatting>
  <conditionalFormatting sqref="J63 O63">
    <cfRule type="cellIs" dxfId="7" priority="8" operator="greaterThan">
      <formula>0</formula>
    </cfRule>
  </conditionalFormatting>
  <conditionalFormatting sqref="P26:P62">
    <cfRule type="cellIs" dxfId="6" priority="11" operator="greaterThan">
      <formula>0</formula>
    </cfRule>
  </conditionalFormatting>
  <conditionalFormatting sqref="P63">
    <cfRule type="cellIs" dxfId="5" priority="4" operator="greaterThan">
      <formula>0</formula>
    </cfRule>
  </conditionalFormatting>
  <conditionalFormatting sqref="Q26:Q62">
    <cfRule type="cellIs" dxfId="4" priority="10" operator="greaterThan">
      <formula>0</formula>
    </cfRule>
  </conditionalFormatting>
  <conditionalFormatting sqref="Q63">
    <cfRule type="cellIs" dxfId="3" priority="7" operator="greaterThan">
      <formula>0</formula>
    </cfRule>
  </conditionalFormatting>
  <conditionalFormatting sqref="AB68:AE71">
    <cfRule type="cellIs" dxfId="2" priority="9" operator="greaterThan">
      <formula>0</formula>
    </cfRule>
  </conditionalFormatting>
  <conditionalFormatting sqref="G161:H161">
    <cfRule type="cellIs" dxfId="1" priority="1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대시보드</vt:lpstr>
      <vt:lpstr>컨설팅</vt:lpstr>
      <vt:lpstr>S_N솔루션</vt:lpstr>
      <vt:lpstr>특허기술자문료</vt:lpstr>
      <vt:lpstr>자재판매</vt:lpstr>
      <vt:lpstr>2025현장 미수금관리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나영 신</dc:creator>
  <dc:description/>
  <cp:lastModifiedBy>Administrator</cp:lastModifiedBy>
  <cp:revision>0</cp:revision>
  <cp:lastPrinted>2026-01-07T08:23:18Z</cp:lastPrinted>
  <dcterms:created xsi:type="dcterms:W3CDTF">2025-12-24T04:07:57Z</dcterms:created>
  <dcterms:modified xsi:type="dcterms:W3CDTF">2026-01-09T01:23:31Z</dcterms:modified>
  <dc:language>en-US</dc:language>
</cp:coreProperties>
</file>